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学生明细" sheetId="2" state="visible" r:id="rId2"/>
    <sheet xmlns:r="http://schemas.openxmlformats.org/officeDocument/2006/relationships" name="各科统计" sheetId="3" state="visible" r:id="rId3"/>
    <sheet xmlns:r="http://schemas.openxmlformats.org/officeDocument/2006/relationships" name="分数段分布" sheetId="4" state="visible" r:id="rId4"/>
    <sheet xmlns:r="http://schemas.openxmlformats.org/officeDocument/2006/relationships" name="总分前10名" sheetId="5" state="visible" r:id="rId5"/>
    <sheet xmlns:r="http://schemas.openxmlformats.org/officeDocument/2006/relationships" name="总分后10名" sheetId="6" state="visible" r:id="rId6"/>
    <sheet xmlns:r="http://schemas.openxmlformats.org/officeDocument/2006/relationships" name="偏科生名单" sheetId="7" state="visible" r:id="rId7"/>
    <sheet xmlns:r="http://schemas.openxmlformats.org/officeDocument/2006/relationships" name="关键数字核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sz val="10"/>
    </font>
    <font>
      <name val="微软雅黑"/>
      <b val="1"/>
      <color rgb="00C00000"/>
      <sz val="10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高一3班期中考试成绩分析表</t>
        </is>
      </c>
    </row>
    <row r="2">
      <c r="A2" s="2" t="inlineStr"/>
    </row>
    <row r="3">
      <c r="A3" s="2" t="inlineStr">
        <is>
          <t>数据来源：高一3班期中成绩.xlsx（共40人，语文/数学/英语/物理/化学五科，各科满分100分，总分满分500分）</t>
        </is>
      </c>
    </row>
    <row r="4">
      <c r="A4" s="2" t="inlineStr">
        <is>
          <t>统计口径：及格 = 单科≥60分；优秀 = 单科≥85分；偏科 = 该生最高科与最低科分差 &gt; 30分。</t>
        </is>
      </c>
    </row>
    <row r="5">
      <c r="A5" s="2" t="inlineStr">
        <is>
          <t>分数段：优秀≥85 ｜ 良好70–84 ｜ 及格60–69 ｜ 不及格&lt;60。</t>
        </is>
      </c>
    </row>
    <row r="6">
      <c r="A6" s="2" t="inlineStr">
        <is>
          <t>公式口径：本表「各科统计」「分数段分布」页用 Excel 公式引用「学生明细」页，打开即自动重算；</t>
        </is>
      </c>
    </row>
    <row r="7">
      <c r="A7" s="2" t="inlineStr">
        <is>
          <t xml:space="preserve">           明细、名单页为真实值；「关键数字核对」页为本表生成时由脚本独立复算的静态值，供上报前核对。</t>
        </is>
      </c>
    </row>
    <row r="8">
      <c r="A8" s="2" t="inlineStr">
        <is>
          <t>生成时间：2026-10-12 ｜ 工具：xlsx skill（openpyxl）+ Python 独立复算</t>
        </is>
      </c>
    </row>
    <row r="9">
      <c r="A9" s="3" t="inlineStr">
        <is>
          <t>⚠ 手册提醒：AI 算数字出图表，上报前要核一眼。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9" customWidth="1" min="12" max="12"/>
    <col width="8" customWidth="1" min="13" max="13"/>
    <col width="10" customWidth="1" min="14" max="14"/>
  </cols>
  <sheetData>
    <row r="1">
      <c r="A1" s="4" t="inlineStr">
        <is>
          <t>学号</t>
        </is>
      </c>
      <c r="B1" s="4" t="inlineStr">
        <is>
          <t>姓名</t>
        </is>
      </c>
      <c r="C1" s="4" t="inlineStr">
        <is>
          <t>语文</t>
        </is>
      </c>
      <c r="D1" s="4" t="inlineStr">
        <is>
          <t>数学</t>
        </is>
      </c>
      <c r="E1" s="4" t="inlineStr">
        <is>
          <t>英语</t>
        </is>
      </c>
      <c r="F1" s="4" t="inlineStr">
        <is>
          <t>物理</t>
        </is>
      </c>
      <c r="G1" s="4" t="inlineStr">
        <is>
          <t>化学</t>
        </is>
      </c>
      <c r="H1" s="4" t="inlineStr">
        <is>
          <t>总分</t>
        </is>
      </c>
      <c r="I1" s="4" t="inlineStr">
        <is>
          <t>最高分</t>
        </is>
      </c>
      <c r="J1" s="4" t="inlineStr">
        <is>
          <t>最低分</t>
        </is>
      </c>
      <c r="K1" s="4" t="inlineStr">
        <is>
          <t>分差</t>
        </is>
      </c>
      <c r="L1" s="4" t="inlineStr">
        <is>
          <t>是否偏科</t>
        </is>
      </c>
      <c r="M1" s="4" t="inlineStr">
        <is>
          <t>最高科</t>
        </is>
      </c>
      <c r="N1" s="4" t="inlineStr">
        <is>
          <t>最低科</t>
        </is>
      </c>
    </row>
    <row r="2">
      <c r="A2" s="5" t="n">
        <v>35</v>
      </c>
      <c r="B2" s="5" t="inlineStr">
        <is>
          <t>蔡梦洁</t>
        </is>
      </c>
      <c r="C2" s="5" t="n">
        <v>98</v>
      </c>
      <c r="D2" s="5" t="n">
        <v>82</v>
      </c>
      <c r="E2" s="5" t="n">
        <v>67</v>
      </c>
      <c r="F2" s="5" t="n">
        <v>89</v>
      </c>
      <c r="G2" s="5" t="n">
        <v>83</v>
      </c>
      <c r="H2" s="5">
        <f>SUM(C2:G2)</f>
        <v/>
      </c>
      <c r="I2" s="5" t="n">
        <v>98</v>
      </c>
      <c r="J2" s="5" t="n">
        <v>67</v>
      </c>
      <c r="K2" s="5" t="n">
        <v>31</v>
      </c>
      <c r="L2" s="5" t="inlineStr">
        <is>
          <t>是</t>
        </is>
      </c>
      <c r="M2" s="5" t="inlineStr">
        <is>
          <t>语文</t>
        </is>
      </c>
      <c r="N2" s="5" t="inlineStr">
        <is>
          <t>英语</t>
        </is>
      </c>
    </row>
    <row r="3">
      <c r="A3" s="5" t="n">
        <v>6</v>
      </c>
      <c r="B3" s="5" t="inlineStr">
        <is>
          <t>张梓萱</t>
        </is>
      </c>
      <c r="C3" s="5" t="n">
        <v>67</v>
      </c>
      <c r="D3" s="5" t="n">
        <v>93</v>
      </c>
      <c r="E3" s="5" t="n">
        <v>91</v>
      </c>
      <c r="F3" s="5" t="n">
        <v>84</v>
      </c>
      <c r="G3" s="5" t="n">
        <v>76</v>
      </c>
      <c r="H3" s="5">
        <f>SUM(C3:G3)</f>
        <v/>
      </c>
      <c r="I3" s="5" t="n">
        <v>93</v>
      </c>
      <c r="J3" s="5" t="n">
        <v>67</v>
      </c>
      <c r="K3" s="5" t="n">
        <v>26</v>
      </c>
      <c r="L3" s="5" t="inlineStr">
        <is>
          <t>否</t>
        </is>
      </c>
      <c r="M3" s="5" t="inlineStr">
        <is>
          <t>数学</t>
        </is>
      </c>
      <c r="N3" s="5" t="inlineStr">
        <is>
          <t>语文</t>
        </is>
      </c>
    </row>
    <row r="4">
      <c r="A4" s="5" t="n">
        <v>22</v>
      </c>
      <c r="B4" s="5" t="inlineStr">
        <is>
          <t>梁家豪</t>
        </is>
      </c>
      <c r="C4" s="5" t="n">
        <v>95</v>
      </c>
      <c r="D4" s="5" t="n">
        <v>92</v>
      </c>
      <c r="E4" s="5" t="n">
        <v>85</v>
      </c>
      <c r="F4" s="5" t="n">
        <v>54</v>
      </c>
      <c r="G4" s="5" t="n">
        <v>85</v>
      </c>
      <c r="H4" s="5">
        <f>SUM(C4:G4)</f>
        <v/>
      </c>
      <c r="I4" s="5" t="n">
        <v>95</v>
      </c>
      <c r="J4" s="5" t="n">
        <v>54</v>
      </c>
      <c r="K4" s="5" t="n">
        <v>41</v>
      </c>
      <c r="L4" s="5" t="inlineStr">
        <is>
          <t>是</t>
        </is>
      </c>
      <c r="M4" s="5" t="inlineStr">
        <is>
          <t>语文</t>
        </is>
      </c>
      <c r="N4" s="5" t="inlineStr">
        <is>
          <t>物理</t>
        </is>
      </c>
    </row>
    <row r="5">
      <c r="A5" s="5" t="n">
        <v>28</v>
      </c>
      <c r="B5" s="5" t="inlineStr">
        <is>
          <t>冯俊凯</t>
        </is>
      </c>
      <c r="C5" s="5" t="n">
        <v>90</v>
      </c>
      <c r="D5" s="5" t="n">
        <v>82</v>
      </c>
      <c r="E5" s="5" t="n">
        <v>66</v>
      </c>
      <c r="F5" s="5" t="n">
        <v>87</v>
      </c>
      <c r="G5" s="5" t="n">
        <v>79</v>
      </c>
      <c r="H5" s="5">
        <f>SUM(C5:G5)</f>
        <v/>
      </c>
      <c r="I5" s="5" t="n">
        <v>90</v>
      </c>
      <c r="J5" s="5" t="n">
        <v>66</v>
      </c>
      <c r="K5" s="5" t="n">
        <v>24</v>
      </c>
      <c r="L5" s="5" t="inlineStr">
        <is>
          <t>否</t>
        </is>
      </c>
      <c r="M5" s="5" t="inlineStr">
        <is>
          <t>语文</t>
        </is>
      </c>
      <c r="N5" s="5" t="inlineStr">
        <is>
          <t>英语</t>
        </is>
      </c>
    </row>
    <row r="6">
      <c r="A6" s="5" t="n">
        <v>39</v>
      </c>
      <c r="B6" s="5" t="inlineStr">
        <is>
          <t>田欣怡</t>
        </is>
      </c>
      <c r="C6" s="5" t="n">
        <v>95</v>
      </c>
      <c r="D6" s="5" t="n">
        <v>67</v>
      </c>
      <c r="E6" s="5" t="n">
        <v>90</v>
      </c>
      <c r="F6" s="5" t="n">
        <v>72</v>
      </c>
      <c r="G6" s="5" t="n">
        <v>80</v>
      </c>
      <c r="H6" s="5">
        <f>SUM(C6:G6)</f>
        <v/>
      </c>
      <c r="I6" s="5" t="n">
        <v>95</v>
      </c>
      <c r="J6" s="5" t="n">
        <v>67</v>
      </c>
      <c r="K6" s="5" t="n">
        <v>28</v>
      </c>
      <c r="L6" s="5" t="inlineStr">
        <is>
          <t>否</t>
        </is>
      </c>
      <c r="M6" s="5" t="inlineStr">
        <is>
          <t>语文</t>
        </is>
      </c>
      <c r="N6" s="5" t="inlineStr">
        <is>
          <t>数学</t>
        </is>
      </c>
    </row>
    <row r="7">
      <c r="A7" s="5" t="n">
        <v>20</v>
      </c>
      <c r="B7" s="5" t="inlineStr">
        <is>
          <t>罗志强</t>
        </is>
      </c>
      <c r="C7" s="5" t="n">
        <v>93</v>
      </c>
      <c r="D7" s="5" t="n">
        <v>88</v>
      </c>
      <c r="E7" s="5" t="n">
        <v>60</v>
      </c>
      <c r="F7" s="5" t="n">
        <v>74</v>
      </c>
      <c r="G7" s="5" t="n">
        <v>88</v>
      </c>
      <c r="H7" s="5">
        <f>SUM(C7:G7)</f>
        <v/>
      </c>
      <c r="I7" s="5" t="n">
        <v>93</v>
      </c>
      <c r="J7" s="5" t="n">
        <v>60</v>
      </c>
      <c r="K7" s="5" t="n">
        <v>33</v>
      </c>
      <c r="L7" s="5" t="inlineStr">
        <is>
          <t>是</t>
        </is>
      </c>
      <c r="M7" s="5" t="inlineStr">
        <is>
          <t>语文</t>
        </is>
      </c>
      <c r="N7" s="5" t="inlineStr">
        <is>
          <t>英语</t>
        </is>
      </c>
    </row>
    <row r="8">
      <c r="A8" s="5" t="n">
        <v>3</v>
      </c>
      <c r="B8" s="5" t="inlineStr">
        <is>
          <t>王浩然</t>
        </is>
      </c>
      <c r="C8" s="5" t="n">
        <v>98</v>
      </c>
      <c r="D8" s="5" t="n">
        <v>95</v>
      </c>
      <c r="E8" s="5" t="n">
        <v>84</v>
      </c>
      <c r="F8" s="5" t="n">
        <v>45</v>
      </c>
      <c r="G8" s="5" t="n">
        <v>79</v>
      </c>
      <c r="H8" s="5">
        <f>SUM(C8:G8)</f>
        <v/>
      </c>
      <c r="I8" s="5" t="n">
        <v>98</v>
      </c>
      <c r="J8" s="5" t="n">
        <v>45</v>
      </c>
      <c r="K8" s="5" t="n">
        <v>53</v>
      </c>
      <c r="L8" s="5" t="inlineStr">
        <is>
          <t>是</t>
        </is>
      </c>
      <c r="M8" s="5" t="inlineStr">
        <is>
          <t>语文</t>
        </is>
      </c>
      <c r="N8" s="5" t="inlineStr">
        <is>
          <t>物理</t>
        </is>
      </c>
    </row>
    <row r="9">
      <c r="A9" s="5" t="n">
        <v>14</v>
      </c>
      <c r="B9" s="5" t="inlineStr">
        <is>
          <t>朱天宇</t>
        </is>
      </c>
      <c r="C9" s="5" t="n">
        <v>94</v>
      </c>
      <c r="D9" s="5" t="n">
        <v>71</v>
      </c>
      <c r="E9" s="5" t="n">
        <v>86</v>
      </c>
      <c r="F9" s="5" t="n">
        <v>52</v>
      </c>
      <c r="G9" s="5" t="n">
        <v>87</v>
      </c>
      <c r="H9" s="5">
        <f>SUM(C9:G9)</f>
        <v/>
      </c>
      <c r="I9" s="5" t="n">
        <v>94</v>
      </c>
      <c r="J9" s="5" t="n">
        <v>52</v>
      </c>
      <c r="K9" s="5" t="n">
        <v>42</v>
      </c>
      <c r="L9" s="5" t="inlineStr">
        <is>
          <t>是</t>
        </is>
      </c>
      <c r="M9" s="5" t="inlineStr">
        <is>
          <t>语文</t>
        </is>
      </c>
      <c r="N9" s="5" t="inlineStr">
        <is>
          <t>物理</t>
        </is>
      </c>
    </row>
    <row r="10">
      <c r="A10" s="5" t="n">
        <v>26</v>
      </c>
      <c r="B10" s="5" t="inlineStr">
        <is>
          <t>许文博</t>
        </is>
      </c>
      <c r="C10" s="5" t="n">
        <v>68</v>
      </c>
      <c r="D10" s="5" t="n">
        <v>89</v>
      </c>
      <c r="E10" s="5" t="n">
        <v>81</v>
      </c>
      <c r="F10" s="5" t="n">
        <v>65</v>
      </c>
      <c r="G10" s="5" t="n">
        <v>83</v>
      </c>
      <c r="H10" s="5">
        <f>SUM(C10:G10)</f>
        <v/>
      </c>
      <c r="I10" s="5" t="n">
        <v>89</v>
      </c>
      <c r="J10" s="5" t="n">
        <v>65</v>
      </c>
      <c r="K10" s="5" t="n">
        <v>24</v>
      </c>
      <c r="L10" s="5" t="inlineStr">
        <is>
          <t>否</t>
        </is>
      </c>
      <c r="M10" s="5" t="inlineStr">
        <is>
          <t>数学</t>
        </is>
      </c>
      <c r="N10" s="5" t="inlineStr">
        <is>
          <t>物理</t>
        </is>
      </c>
    </row>
    <row r="11">
      <c r="A11" s="5" t="n">
        <v>11</v>
      </c>
      <c r="B11" s="5" t="inlineStr">
        <is>
          <t>徐若曦</t>
        </is>
      </c>
      <c r="C11" s="5" t="n">
        <v>77</v>
      </c>
      <c r="D11" s="5" t="n">
        <v>70</v>
      </c>
      <c r="E11" s="5" t="n">
        <v>88</v>
      </c>
      <c r="F11" s="5" t="n">
        <v>56</v>
      </c>
      <c r="G11" s="5" t="n">
        <v>93</v>
      </c>
      <c r="H11" s="5">
        <f>SUM(C11:G11)</f>
        <v/>
      </c>
      <c r="I11" s="5" t="n">
        <v>93</v>
      </c>
      <c r="J11" s="5" t="n">
        <v>56</v>
      </c>
      <c r="K11" s="5" t="n">
        <v>37</v>
      </c>
      <c r="L11" s="5" t="inlineStr">
        <is>
          <t>是</t>
        </is>
      </c>
      <c r="M11" s="5" t="inlineStr">
        <is>
          <t>化学</t>
        </is>
      </c>
      <c r="N11" s="5" t="inlineStr">
        <is>
          <t>物理</t>
        </is>
      </c>
    </row>
    <row r="12">
      <c r="A12" s="5" t="n">
        <v>19</v>
      </c>
      <c r="B12" s="5" t="inlineStr">
        <is>
          <t>高语嫣</t>
        </is>
      </c>
      <c r="C12" s="5" t="n">
        <v>72</v>
      </c>
      <c r="D12" s="5" t="n">
        <v>92</v>
      </c>
      <c r="E12" s="5" t="n">
        <v>93</v>
      </c>
      <c r="F12" s="5" t="n">
        <v>81</v>
      </c>
      <c r="G12" s="5" t="n">
        <v>46</v>
      </c>
      <c r="H12" s="5">
        <f>SUM(C12:G12)</f>
        <v/>
      </c>
      <c r="I12" s="5" t="n">
        <v>93</v>
      </c>
      <c r="J12" s="5" t="n">
        <v>46</v>
      </c>
      <c r="K12" s="5" t="n">
        <v>47</v>
      </c>
      <c r="L12" s="5" t="inlineStr">
        <is>
          <t>是</t>
        </is>
      </c>
      <c r="M12" s="5" t="inlineStr">
        <is>
          <t>英语</t>
        </is>
      </c>
      <c r="N12" s="5" t="inlineStr">
        <is>
          <t>化学</t>
        </is>
      </c>
    </row>
    <row r="13">
      <c r="A13" s="5" t="n">
        <v>33</v>
      </c>
      <c r="B13" s="5" t="inlineStr">
        <is>
          <t>潘雨欣</t>
        </is>
      </c>
      <c r="C13" s="5" t="n">
        <v>79</v>
      </c>
      <c r="D13" s="5" t="n">
        <v>86</v>
      </c>
      <c r="E13" s="5" t="n">
        <v>79</v>
      </c>
      <c r="F13" s="5" t="n">
        <v>73</v>
      </c>
      <c r="G13" s="5" t="n">
        <v>58</v>
      </c>
      <c r="H13" s="5">
        <f>SUM(C13:G13)</f>
        <v/>
      </c>
      <c r="I13" s="5" t="n">
        <v>86</v>
      </c>
      <c r="J13" s="5" t="n">
        <v>58</v>
      </c>
      <c r="K13" s="5" t="n">
        <v>28</v>
      </c>
      <c r="L13" s="5" t="inlineStr">
        <is>
          <t>否</t>
        </is>
      </c>
      <c r="M13" s="5" t="inlineStr">
        <is>
          <t>数学</t>
        </is>
      </c>
      <c r="N13" s="5" t="inlineStr">
        <is>
          <t>化学</t>
        </is>
      </c>
    </row>
    <row r="14">
      <c r="A14" s="5" t="n">
        <v>23</v>
      </c>
      <c r="B14" s="5" t="inlineStr">
        <is>
          <t>谢婉婷</t>
        </is>
      </c>
      <c r="C14" s="5" t="n">
        <v>75</v>
      </c>
      <c r="D14" s="5" t="n">
        <v>97</v>
      </c>
      <c r="E14" s="5" t="n">
        <v>53</v>
      </c>
      <c r="F14" s="5" t="n">
        <v>54</v>
      </c>
      <c r="G14" s="5" t="n">
        <v>94</v>
      </c>
      <c r="H14" s="5">
        <f>SUM(C14:G14)</f>
        <v/>
      </c>
      <c r="I14" s="5" t="n">
        <v>97</v>
      </c>
      <c r="J14" s="5" t="n">
        <v>53</v>
      </c>
      <c r="K14" s="5" t="n">
        <v>44</v>
      </c>
      <c r="L14" s="5" t="inlineStr">
        <is>
          <t>是</t>
        </is>
      </c>
      <c r="M14" s="5" t="inlineStr">
        <is>
          <t>数学</t>
        </is>
      </c>
      <c r="N14" s="5" t="inlineStr">
        <is>
          <t>英语</t>
        </is>
      </c>
    </row>
    <row r="15">
      <c r="A15" s="5" t="n">
        <v>37</v>
      </c>
      <c r="B15" s="5" t="inlineStr">
        <is>
          <t>杜思琪</t>
        </is>
      </c>
      <c r="C15" s="5" t="n">
        <v>84</v>
      </c>
      <c r="D15" s="5" t="n">
        <v>48</v>
      </c>
      <c r="E15" s="5" t="n">
        <v>96</v>
      </c>
      <c r="F15" s="5" t="n">
        <v>86</v>
      </c>
      <c r="G15" s="5" t="n">
        <v>58</v>
      </c>
      <c r="H15" s="5">
        <f>SUM(C15:G15)</f>
        <v/>
      </c>
      <c r="I15" s="5" t="n">
        <v>96</v>
      </c>
      <c r="J15" s="5" t="n">
        <v>48</v>
      </c>
      <c r="K15" s="5" t="n">
        <v>48</v>
      </c>
      <c r="L15" s="5" t="inlineStr">
        <is>
          <t>是</t>
        </is>
      </c>
      <c r="M15" s="5" t="inlineStr">
        <is>
          <t>英语</t>
        </is>
      </c>
      <c r="N15" s="5" t="inlineStr">
        <is>
          <t>数学</t>
        </is>
      </c>
    </row>
    <row r="16">
      <c r="A16" s="5" t="n">
        <v>32</v>
      </c>
      <c r="B16" s="5" t="inlineStr">
        <is>
          <t>袁博文</t>
        </is>
      </c>
      <c r="C16" s="5" t="n">
        <v>98</v>
      </c>
      <c r="D16" s="5" t="n">
        <v>75</v>
      </c>
      <c r="E16" s="5" t="n">
        <v>88</v>
      </c>
      <c r="F16" s="5" t="n">
        <v>44</v>
      </c>
      <c r="G16" s="5" t="n">
        <v>66</v>
      </c>
      <c r="H16" s="5">
        <f>SUM(C16:G16)</f>
        <v/>
      </c>
      <c r="I16" s="5" t="n">
        <v>98</v>
      </c>
      <c r="J16" s="5" t="n">
        <v>44</v>
      </c>
      <c r="K16" s="5" t="n">
        <v>54</v>
      </c>
      <c r="L16" s="5" t="inlineStr">
        <is>
          <t>是</t>
        </is>
      </c>
      <c r="M16" s="5" t="inlineStr">
        <is>
          <t>语文</t>
        </is>
      </c>
      <c r="N16" s="5" t="inlineStr">
        <is>
          <t>物理</t>
        </is>
      </c>
    </row>
    <row r="17">
      <c r="A17" s="5" t="n">
        <v>17</v>
      </c>
      <c r="B17" s="5" t="inlineStr">
        <is>
          <t>林静怡</t>
        </is>
      </c>
      <c r="C17" s="5" t="n">
        <v>79</v>
      </c>
      <c r="D17" s="5" t="n">
        <v>65</v>
      </c>
      <c r="E17" s="5" t="n">
        <v>79</v>
      </c>
      <c r="F17" s="5" t="n">
        <v>80</v>
      </c>
      <c r="G17" s="5" t="n">
        <v>65</v>
      </c>
      <c r="H17" s="5">
        <f>SUM(C17:G17)</f>
        <v/>
      </c>
      <c r="I17" s="5" t="n">
        <v>80</v>
      </c>
      <c r="J17" s="5" t="n">
        <v>65</v>
      </c>
      <c r="K17" s="5" t="n">
        <v>15</v>
      </c>
      <c r="L17" s="5" t="inlineStr">
        <is>
          <t>否</t>
        </is>
      </c>
      <c r="M17" s="5" t="inlineStr">
        <is>
          <t>物理</t>
        </is>
      </c>
      <c r="N17" s="5" t="inlineStr">
        <is>
          <t>数学/化学</t>
        </is>
      </c>
    </row>
    <row r="18">
      <c r="A18" s="5" t="n">
        <v>34</v>
      </c>
      <c r="B18" s="5" t="inlineStr">
        <is>
          <t>蒋天磊</t>
        </is>
      </c>
      <c r="C18" s="5" t="n">
        <v>90</v>
      </c>
      <c r="D18" s="5" t="n">
        <v>48</v>
      </c>
      <c r="E18" s="5" t="n">
        <v>93</v>
      </c>
      <c r="F18" s="5" t="n">
        <v>86</v>
      </c>
      <c r="G18" s="5" t="n">
        <v>49</v>
      </c>
      <c r="H18" s="5">
        <f>SUM(C18:G18)</f>
        <v/>
      </c>
      <c r="I18" s="5" t="n">
        <v>93</v>
      </c>
      <c r="J18" s="5" t="n">
        <v>48</v>
      </c>
      <c r="K18" s="5" t="n">
        <v>45</v>
      </c>
      <c r="L18" s="5" t="inlineStr">
        <is>
          <t>是</t>
        </is>
      </c>
      <c r="M18" s="5" t="inlineStr">
        <is>
          <t>英语</t>
        </is>
      </c>
      <c r="N18" s="5" t="inlineStr">
        <is>
          <t>数学</t>
        </is>
      </c>
    </row>
    <row r="19">
      <c r="A19" s="5" t="n">
        <v>8</v>
      </c>
      <c r="B19" s="5" t="inlineStr">
        <is>
          <t>黄子豪</t>
        </is>
      </c>
      <c r="C19" s="5" t="n">
        <v>55</v>
      </c>
      <c r="D19" s="5" t="n">
        <v>96</v>
      </c>
      <c r="E19" s="5" t="n">
        <v>60</v>
      </c>
      <c r="F19" s="5" t="n">
        <v>84</v>
      </c>
      <c r="G19" s="5" t="n">
        <v>69</v>
      </c>
      <c r="H19" s="5">
        <f>SUM(C19:G19)</f>
        <v/>
      </c>
      <c r="I19" s="5" t="n">
        <v>96</v>
      </c>
      <c r="J19" s="5" t="n">
        <v>55</v>
      </c>
      <c r="K19" s="5" t="n">
        <v>41</v>
      </c>
      <c r="L19" s="5" t="inlineStr">
        <is>
          <t>是</t>
        </is>
      </c>
      <c r="M19" s="5" t="inlineStr">
        <is>
          <t>数学</t>
        </is>
      </c>
      <c r="N19" s="5" t="inlineStr">
        <is>
          <t>语文</t>
        </is>
      </c>
    </row>
    <row r="20">
      <c r="A20" s="5" t="n">
        <v>38</v>
      </c>
      <c r="B20" s="5" t="inlineStr">
        <is>
          <t>叶文昊</t>
        </is>
      </c>
      <c r="C20" s="5" t="n">
        <v>87</v>
      </c>
      <c r="D20" s="5" t="n">
        <v>96</v>
      </c>
      <c r="E20" s="5" t="n">
        <v>61</v>
      </c>
      <c r="F20" s="5" t="n">
        <v>72</v>
      </c>
      <c r="G20" s="5" t="n">
        <v>48</v>
      </c>
      <c r="H20" s="5">
        <f>SUM(C20:G20)</f>
        <v/>
      </c>
      <c r="I20" s="5" t="n">
        <v>96</v>
      </c>
      <c r="J20" s="5" t="n">
        <v>48</v>
      </c>
      <c r="K20" s="5" t="n">
        <v>48</v>
      </c>
      <c r="L20" s="5" t="inlineStr">
        <is>
          <t>是</t>
        </is>
      </c>
      <c r="M20" s="5" t="inlineStr">
        <is>
          <t>数学</t>
        </is>
      </c>
      <c r="N20" s="5" t="inlineStr">
        <is>
          <t>化学</t>
        </is>
      </c>
    </row>
    <row r="21">
      <c r="A21" s="5" t="n">
        <v>29</v>
      </c>
      <c r="B21" s="5" t="inlineStr">
        <is>
          <t>曹雪莹</t>
        </is>
      </c>
      <c r="C21" s="5" t="n">
        <v>82</v>
      </c>
      <c r="D21" s="5" t="n">
        <v>85</v>
      </c>
      <c r="E21" s="5" t="n">
        <v>75</v>
      </c>
      <c r="F21" s="5" t="n">
        <v>63</v>
      </c>
      <c r="G21" s="5" t="n">
        <v>56</v>
      </c>
      <c r="H21" s="5">
        <f>SUM(C21:G21)</f>
        <v/>
      </c>
      <c r="I21" s="5" t="n">
        <v>85</v>
      </c>
      <c r="J21" s="5" t="n">
        <v>56</v>
      </c>
      <c r="K21" s="5" t="n">
        <v>29</v>
      </c>
      <c r="L21" s="5" t="inlineStr">
        <is>
          <t>否</t>
        </is>
      </c>
      <c r="M21" s="5" t="inlineStr">
        <is>
          <t>数学</t>
        </is>
      </c>
      <c r="N21" s="5" t="inlineStr">
        <is>
          <t>化学</t>
        </is>
      </c>
    </row>
    <row r="22">
      <c r="A22" s="5" t="n">
        <v>30</v>
      </c>
      <c r="B22" s="5" t="inlineStr">
        <is>
          <t>彭立轩</t>
        </is>
      </c>
      <c r="C22" s="5" t="n">
        <v>63</v>
      </c>
      <c r="D22" s="5" t="n">
        <v>80</v>
      </c>
      <c r="E22" s="5" t="n">
        <v>81</v>
      </c>
      <c r="F22" s="5" t="n">
        <v>45</v>
      </c>
      <c r="G22" s="5" t="n">
        <v>90</v>
      </c>
      <c r="H22" s="5">
        <f>SUM(C22:G22)</f>
        <v/>
      </c>
      <c r="I22" s="5" t="n">
        <v>90</v>
      </c>
      <c r="J22" s="5" t="n">
        <v>45</v>
      </c>
      <c r="K22" s="5" t="n">
        <v>45</v>
      </c>
      <c r="L22" s="5" t="inlineStr">
        <is>
          <t>是</t>
        </is>
      </c>
      <c r="M22" s="5" t="inlineStr">
        <is>
          <t>化学</t>
        </is>
      </c>
      <c r="N22" s="5" t="inlineStr">
        <is>
          <t>物理</t>
        </is>
      </c>
    </row>
    <row r="23">
      <c r="A23" s="5" t="n">
        <v>7</v>
      </c>
      <c r="B23" s="5" t="inlineStr">
        <is>
          <t>赵雨桐</t>
        </is>
      </c>
      <c r="C23" s="5" t="n">
        <v>81</v>
      </c>
      <c r="D23" s="5" t="n">
        <v>62</v>
      </c>
      <c r="E23" s="5" t="n">
        <v>78</v>
      </c>
      <c r="F23" s="5" t="n">
        <v>77</v>
      </c>
      <c r="G23" s="5" t="n">
        <v>59</v>
      </c>
      <c r="H23" s="5">
        <f>SUM(C23:G23)</f>
        <v/>
      </c>
      <c r="I23" s="5" t="n">
        <v>81</v>
      </c>
      <c r="J23" s="5" t="n">
        <v>59</v>
      </c>
      <c r="K23" s="5" t="n">
        <v>22</v>
      </c>
      <c r="L23" s="5" t="inlineStr">
        <is>
          <t>否</t>
        </is>
      </c>
      <c r="M23" s="5" t="inlineStr">
        <is>
          <t>语文</t>
        </is>
      </c>
      <c r="N23" s="5" t="inlineStr">
        <is>
          <t>化学</t>
        </is>
      </c>
    </row>
    <row r="24">
      <c r="A24" s="5" t="n">
        <v>13</v>
      </c>
      <c r="B24" s="5" t="inlineStr">
        <is>
          <t>马欣怡</t>
        </is>
      </c>
      <c r="C24" s="5" t="n">
        <v>79</v>
      </c>
      <c r="D24" s="5" t="n">
        <v>53</v>
      </c>
      <c r="E24" s="5" t="n">
        <v>85</v>
      </c>
      <c r="F24" s="5" t="n">
        <v>58</v>
      </c>
      <c r="G24" s="5" t="n">
        <v>82</v>
      </c>
      <c r="H24" s="5">
        <f>SUM(C24:G24)</f>
        <v/>
      </c>
      <c r="I24" s="5" t="n">
        <v>85</v>
      </c>
      <c r="J24" s="5" t="n">
        <v>53</v>
      </c>
      <c r="K24" s="5" t="n">
        <v>32</v>
      </c>
      <c r="L24" s="5" t="inlineStr">
        <is>
          <t>是</t>
        </is>
      </c>
      <c r="M24" s="5" t="inlineStr">
        <is>
          <t>英语</t>
        </is>
      </c>
      <c r="N24" s="5" t="inlineStr">
        <is>
          <t>数学</t>
        </is>
      </c>
    </row>
    <row r="25">
      <c r="A25" s="5" t="n">
        <v>5</v>
      </c>
      <c r="B25" s="5" t="inlineStr">
        <is>
          <t>刘一凡</t>
        </is>
      </c>
      <c r="C25" s="5" t="n">
        <v>69</v>
      </c>
      <c r="D25" s="5" t="n">
        <v>80</v>
      </c>
      <c r="E25" s="5" t="n">
        <v>88</v>
      </c>
      <c r="F25" s="5" t="n">
        <v>41</v>
      </c>
      <c r="G25" s="5" t="n">
        <v>77</v>
      </c>
      <c r="H25" s="5">
        <f>SUM(C25:G25)</f>
        <v/>
      </c>
      <c r="I25" s="5" t="n">
        <v>88</v>
      </c>
      <c r="J25" s="5" t="n">
        <v>41</v>
      </c>
      <c r="K25" s="5" t="n">
        <v>47</v>
      </c>
      <c r="L25" s="5" t="inlineStr">
        <is>
          <t>是</t>
        </is>
      </c>
      <c r="M25" s="5" t="inlineStr">
        <is>
          <t>英语</t>
        </is>
      </c>
      <c r="N25" s="5" t="inlineStr">
        <is>
          <t>物理</t>
        </is>
      </c>
    </row>
    <row r="26">
      <c r="A26" s="5" t="n">
        <v>12</v>
      </c>
      <c r="B26" s="5" t="inlineStr">
        <is>
          <t>孙博文</t>
        </is>
      </c>
      <c r="C26" s="5" t="n">
        <v>57</v>
      </c>
      <c r="D26" s="5" t="n">
        <v>94</v>
      </c>
      <c r="E26" s="5" t="n">
        <v>79</v>
      </c>
      <c r="F26" s="5" t="n">
        <v>74</v>
      </c>
      <c r="G26" s="5" t="n">
        <v>49</v>
      </c>
      <c r="H26" s="5">
        <f>SUM(C26:G26)</f>
        <v/>
      </c>
      <c r="I26" s="5" t="n">
        <v>94</v>
      </c>
      <c r="J26" s="5" t="n">
        <v>49</v>
      </c>
      <c r="K26" s="5" t="n">
        <v>45</v>
      </c>
      <c r="L26" s="5" t="inlineStr">
        <is>
          <t>是</t>
        </is>
      </c>
      <c r="M26" s="5" t="inlineStr">
        <is>
          <t>数学</t>
        </is>
      </c>
      <c r="N26" s="5" t="inlineStr">
        <is>
          <t>化学</t>
        </is>
      </c>
    </row>
    <row r="27">
      <c r="A27" s="5" t="n">
        <v>25</v>
      </c>
      <c r="B27" s="5" t="inlineStr">
        <is>
          <t>唐佳慧</t>
        </is>
      </c>
      <c r="C27" s="5" t="n">
        <v>59</v>
      </c>
      <c r="D27" s="5" t="n">
        <v>61</v>
      </c>
      <c r="E27" s="5" t="n">
        <v>86</v>
      </c>
      <c r="F27" s="5" t="n">
        <v>85</v>
      </c>
      <c r="G27" s="5" t="n">
        <v>62</v>
      </c>
      <c r="H27" s="5">
        <f>SUM(C27:G27)</f>
        <v/>
      </c>
      <c r="I27" s="5" t="n">
        <v>86</v>
      </c>
      <c r="J27" s="5" t="n">
        <v>59</v>
      </c>
      <c r="K27" s="5" t="n">
        <v>27</v>
      </c>
      <c r="L27" s="5" t="inlineStr">
        <is>
          <t>否</t>
        </is>
      </c>
      <c r="M27" s="5" t="inlineStr">
        <is>
          <t>英语</t>
        </is>
      </c>
      <c r="N27" s="5" t="inlineStr">
        <is>
          <t>语文</t>
        </is>
      </c>
    </row>
    <row r="28">
      <c r="A28" s="5" t="n">
        <v>24</v>
      </c>
      <c r="B28" s="5" t="inlineStr">
        <is>
          <t>宋宇航</t>
        </is>
      </c>
      <c r="C28" s="5" t="n">
        <v>57</v>
      </c>
      <c r="D28" s="5" t="n">
        <v>99</v>
      </c>
      <c r="E28" s="5" t="n">
        <v>70</v>
      </c>
      <c r="F28" s="5" t="n">
        <v>65</v>
      </c>
      <c r="G28" s="5" t="n">
        <v>59</v>
      </c>
      <c r="H28" s="5">
        <f>SUM(C28:G28)</f>
        <v/>
      </c>
      <c r="I28" s="5" t="n">
        <v>99</v>
      </c>
      <c r="J28" s="5" t="n">
        <v>57</v>
      </c>
      <c r="K28" s="5" t="n">
        <v>42</v>
      </c>
      <c r="L28" s="5" t="inlineStr">
        <is>
          <t>是</t>
        </is>
      </c>
      <c r="M28" s="5" t="inlineStr">
        <is>
          <t>数学</t>
        </is>
      </c>
      <c r="N28" s="5" t="inlineStr">
        <is>
          <t>语文</t>
        </is>
      </c>
    </row>
    <row r="29">
      <c r="A29" s="5" t="n">
        <v>1</v>
      </c>
      <c r="B29" s="5" t="inlineStr">
        <is>
          <t>陈小雅</t>
        </is>
      </c>
      <c r="C29" s="5" t="n">
        <v>95</v>
      </c>
      <c r="D29" s="5" t="n">
        <v>55</v>
      </c>
      <c r="E29" s="5" t="n">
        <v>51</v>
      </c>
      <c r="F29" s="5" t="n">
        <v>87</v>
      </c>
      <c r="G29" s="5" t="n">
        <v>59</v>
      </c>
      <c r="H29" s="5">
        <f>SUM(C29:G29)</f>
        <v/>
      </c>
      <c r="I29" s="5" t="n">
        <v>95</v>
      </c>
      <c r="J29" s="5" t="n">
        <v>51</v>
      </c>
      <c r="K29" s="5" t="n">
        <v>44</v>
      </c>
      <c r="L29" s="5" t="inlineStr">
        <is>
          <t>是</t>
        </is>
      </c>
      <c r="M29" s="5" t="inlineStr">
        <is>
          <t>语文</t>
        </is>
      </c>
      <c r="N29" s="5" t="inlineStr">
        <is>
          <t>英语</t>
        </is>
      </c>
    </row>
    <row r="30">
      <c r="A30" s="5" t="n">
        <v>15</v>
      </c>
      <c r="B30" s="5" t="inlineStr">
        <is>
          <t>胡诗涵</t>
        </is>
      </c>
      <c r="C30" s="5" t="n">
        <v>59</v>
      </c>
      <c r="D30" s="5" t="n">
        <v>50</v>
      </c>
      <c r="E30" s="5" t="n">
        <v>92</v>
      </c>
      <c r="F30" s="5" t="n">
        <v>54</v>
      </c>
      <c r="G30" s="5" t="n">
        <v>91</v>
      </c>
      <c r="H30" s="5">
        <f>SUM(C30:G30)</f>
        <v/>
      </c>
      <c r="I30" s="5" t="n">
        <v>92</v>
      </c>
      <c r="J30" s="5" t="n">
        <v>50</v>
      </c>
      <c r="K30" s="5" t="n">
        <v>42</v>
      </c>
      <c r="L30" s="5" t="inlineStr">
        <is>
          <t>是</t>
        </is>
      </c>
      <c r="M30" s="5" t="inlineStr">
        <is>
          <t>英语</t>
        </is>
      </c>
      <c r="N30" s="5" t="inlineStr">
        <is>
          <t>数学</t>
        </is>
      </c>
    </row>
    <row r="31">
      <c r="A31" s="5" t="n">
        <v>18</v>
      </c>
      <c r="B31" s="5" t="inlineStr">
        <is>
          <t>何明哲</t>
        </is>
      </c>
      <c r="C31" s="5" t="n">
        <v>65</v>
      </c>
      <c r="D31" s="5" t="n">
        <v>71</v>
      </c>
      <c r="E31" s="5" t="n">
        <v>72</v>
      </c>
      <c r="F31" s="5" t="n">
        <v>53</v>
      </c>
      <c r="G31" s="5" t="n">
        <v>84</v>
      </c>
      <c r="H31" s="5">
        <f>SUM(C31:G31)</f>
        <v/>
      </c>
      <c r="I31" s="5" t="n">
        <v>84</v>
      </c>
      <c r="J31" s="5" t="n">
        <v>53</v>
      </c>
      <c r="K31" s="5" t="n">
        <v>31</v>
      </c>
      <c r="L31" s="5" t="inlineStr">
        <is>
          <t>是</t>
        </is>
      </c>
      <c r="M31" s="5" t="inlineStr">
        <is>
          <t>化学</t>
        </is>
      </c>
      <c r="N31" s="5" t="inlineStr">
        <is>
          <t>物理</t>
        </is>
      </c>
    </row>
    <row r="32">
      <c r="A32" s="5" t="n">
        <v>9</v>
      </c>
      <c r="B32" s="5" t="inlineStr">
        <is>
          <t>周梦琪</t>
        </is>
      </c>
      <c r="C32" s="5" t="n">
        <v>76</v>
      </c>
      <c r="D32" s="5" t="n">
        <v>65</v>
      </c>
      <c r="E32" s="5" t="n">
        <v>59</v>
      </c>
      <c r="F32" s="5" t="n">
        <v>53</v>
      </c>
      <c r="G32" s="5" t="n">
        <v>90</v>
      </c>
      <c r="H32" s="5">
        <f>SUM(C32:G32)</f>
        <v/>
      </c>
      <c r="I32" s="5" t="n">
        <v>90</v>
      </c>
      <c r="J32" s="5" t="n">
        <v>53</v>
      </c>
      <c r="K32" s="5" t="n">
        <v>37</v>
      </c>
      <c r="L32" s="5" t="inlineStr">
        <is>
          <t>是</t>
        </is>
      </c>
      <c r="M32" s="5" t="inlineStr">
        <is>
          <t>化学</t>
        </is>
      </c>
      <c r="N32" s="5" t="inlineStr">
        <is>
          <t>物理</t>
        </is>
      </c>
    </row>
    <row r="33">
      <c r="A33" s="5" t="n">
        <v>40</v>
      </c>
      <c r="B33" s="5" t="inlineStr">
        <is>
          <t>熊家俊</t>
        </is>
      </c>
      <c r="C33" s="5" t="n">
        <v>67</v>
      </c>
      <c r="D33" s="5" t="n">
        <v>57</v>
      </c>
      <c r="E33" s="5" t="n">
        <v>73</v>
      </c>
      <c r="F33" s="5" t="n">
        <v>88</v>
      </c>
      <c r="G33" s="5" t="n">
        <v>52</v>
      </c>
      <c r="H33" s="5">
        <f>SUM(C33:G33)</f>
        <v/>
      </c>
      <c r="I33" s="5" t="n">
        <v>88</v>
      </c>
      <c r="J33" s="5" t="n">
        <v>52</v>
      </c>
      <c r="K33" s="5" t="n">
        <v>36</v>
      </c>
      <c r="L33" s="5" t="inlineStr">
        <is>
          <t>是</t>
        </is>
      </c>
      <c r="M33" s="5" t="inlineStr">
        <is>
          <t>物理</t>
        </is>
      </c>
      <c r="N33" s="5" t="inlineStr">
        <is>
          <t>化学</t>
        </is>
      </c>
    </row>
    <row r="34">
      <c r="A34" s="5" t="n">
        <v>16</v>
      </c>
      <c r="B34" s="5" t="inlineStr">
        <is>
          <t>郭子轩</t>
        </is>
      </c>
      <c r="C34" s="5" t="n">
        <v>73</v>
      </c>
      <c r="D34" s="5" t="n">
        <v>53</v>
      </c>
      <c r="E34" s="5" t="n">
        <v>64</v>
      </c>
      <c r="F34" s="5" t="n">
        <v>95</v>
      </c>
      <c r="G34" s="5" t="n">
        <v>48</v>
      </c>
      <c r="H34" s="5">
        <f>SUM(C34:G34)</f>
        <v/>
      </c>
      <c r="I34" s="5" t="n">
        <v>95</v>
      </c>
      <c r="J34" s="5" t="n">
        <v>48</v>
      </c>
      <c r="K34" s="5" t="n">
        <v>47</v>
      </c>
      <c r="L34" s="5" t="inlineStr">
        <is>
          <t>是</t>
        </is>
      </c>
      <c r="M34" s="5" t="inlineStr">
        <is>
          <t>物理</t>
        </is>
      </c>
      <c r="N34" s="5" t="inlineStr">
        <is>
          <t>化学</t>
        </is>
      </c>
    </row>
    <row r="35">
      <c r="A35" s="5" t="n">
        <v>21</v>
      </c>
      <c r="B35" s="5" t="inlineStr">
        <is>
          <t>郑晓彤</t>
        </is>
      </c>
      <c r="C35" s="5" t="n">
        <v>70</v>
      </c>
      <c r="D35" s="5" t="n">
        <v>58</v>
      </c>
      <c r="E35" s="5" t="n">
        <v>79</v>
      </c>
      <c r="F35" s="5" t="n">
        <v>64</v>
      </c>
      <c r="G35" s="5" t="n">
        <v>59</v>
      </c>
      <c r="H35" s="5">
        <f>SUM(C35:G35)</f>
        <v/>
      </c>
      <c r="I35" s="5" t="n">
        <v>79</v>
      </c>
      <c r="J35" s="5" t="n">
        <v>58</v>
      </c>
      <c r="K35" s="5" t="n">
        <v>21</v>
      </c>
      <c r="L35" s="5" t="inlineStr">
        <is>
          <t>否</t>
        </is>
      </c>
      <c r="M35" s="5" t="inlineStr">
        <is>
          <t>英语</t>
        </is>
      </c>
      <c r="N35" s="5" t="inlineStr">
        <is>
          <t>数学</t>
        </is>
      </c>
    </row>
    <row r="36">
      <c r="A36" s="5" t="n">
        <v>2</v>
      </c>
      <c r="B36" s="5" t="inlineStr">
        <is>
          <t>李思远</t>
        </is>
      </c>
      <c r="C36" s="5" t="n">
        <v>70</v>
      </c>
      <c r="D36" s="5" t="n">
        <v>62</v>
      </c>
      <c r="E36" s="5" t="n">
        <v>58</v>
      </c>
      <c r="F36" s="5" t="n">
        <v>87</v>
      </c>
      <c r="G36" s="5" t="n">
        <v>48</v>
      </c>
      <c r="H36" s="5">
        <f>SUM(C36:G36)</f>
        <v/>
      </c>
      <c r="I36" s="5" t="n">
        <v>87</v>
      </c>
      <c r="J36" s="5" t="n">
        <v>48</v>
      </c>
      <c r="K36" s="5" t="n">
        <v>39</v>
      </c>
      <c r="L36" s="5" t="inlineStr">
        <is>
          <t>是</t>
        </is>
      </c>
      <c r="M36" s="5" t="inlineStr">
        <is>
          <t>物理</t>
        </is>
      </c>
      <c r="N36" s="5" t="inlineStr">
        <is>
          <t>化学</t>
        </is>
      </c>
    </row>
    <row r="37">
      <c r="A37" s="5" t="n">
        <v>36</v>
      </c>
      <c r="B37" s="5" t="inlineStr">
        <is>
          <t>余志远</t>
        </is>
      </c>
      <c r="C37" s="5" t="n">
        <v>76</v>
      </c>
      <c r="D37" s="5" t="n">
        <v>55</v>
      </c>
      <c r="E37" s="5" t="n">
        <v>68</v>
      </c>
      <c r="F37" s="5" t="n">
        <v>67</v>
      </c>
      <c r="G37" s="5" t="n">
        <v>52</v>
      </c>
      <c r="H37" s="5">
        <f>SUM(C37:G37)</f>
        <v/>
      </c>
      <c r="I37" s="5" t="n">
        <v>76</v>
      </c>
      <c r="J37" s="5" t="n">
        <v>52</v>
      </c>
      <c r="K37" s="5" t="n">
        <v>24</v>
      </c>
      <c r="L37" s="5" t="inlineStr">
        <is>
          <t>否</t>
        </is>
      </c>
      <c r="M37" s="5" t="inlineStr">
        <is>
          <t>语文</t>
        </is>
      </c>
      <c r="N37" s="5" t="inlineStr">
        <is>
          <t>化学</t>
        </is>
      </c>
    </row>
    <row r="38">
      <c r="A38" s="5" t="n">
        <v>27</v>
      </c>
      <c r="B38" s="5" t="inlineStr">
        <is>
          <t>邓欣妍</t>
        </is>
      </c>
      <c r="C38" s="5" t="n">
        <v>84</v>
      </c>
      <c r="D38" s="5" t="n">
        <v>57</v>
      </c>
      <c r="E38" s="5" t="n">
        <v>66</v>
      </c>
      <c r="F38" s="5" t="n">
        <v>48</v>
      </c>
      <c r="G38" s="5" t="n">
        <v>57</v>
      </c>
      <c r="H38" s="5">
        <f>SUM(C38:G38)</f>
        <v/>
      </c>
      <c r="I38" s="5" t="n">
        <v>84</v>
      </c>
      <c r="J38" s="5" t="n">
        <v>48</v>
      </c>
      <c r="K38" s="5" t="n">
        <v>36</v>
      </c>
      <c r="L38" s="5" t="inlineStr">
        <is>
          <t>是</t>
        </is>
      </c>
      <c r="M38" s="5" t="inlineStr">
        <is>
          <t>语文</t>
        </is>
      </c>
      <c r="N38" s="5" t="inlineStr">
        <is>
          <t>物理</t>
        </is>
      </c>
    </row>
    <row r="39">
      <c r="A39" s="5" t="n">
        <v>31</v>
      </c>
      <c r="B39" s="5" t="inlineStr">
        <is>
          <t>董思雨</t>
        </is>
      </c>
      <c r="C39" s="5" t="n">
        <v>58</v>
      </c>
      <c r="D39" s="5" t="n">
        <v>55</v>
      </c>
      <c r="E39" s="5" t="n">
        <v>59</v>
      </c>
      <c r="F39" s="5" t="n">
        <v>80</v>
      </c>
      <c r="G39" s="5" t="n">
        <v>52</v>
      </c>
      <c r="H39" s="5">
        <f>SUM(C39:G39)</f>
        <v/>
      </c>
      <c r="I39" s="5" t="n">
        <v>80</v>
      </c>
      <c r="J39" s="5" t="n">
        <v>52</v>
      </c>
      <c r="K39" s="5" t="n">
        <v>28</v>
      </c>
      <c r="L39" s="5" t="inlineStr">
        <is>
          <t>否</t>
        </is>
      </c>
      <c r="M39" s="5" t="inlineStr">
        <is>
          <t>物理</t>
        </is>
      </c>
      <c r="N39" s="5" t="inlineStr">
        <is>
          <t>化学</t>
        </is>
      </c>
    </row>
    <row r="40">
      <c r="A40" s="5" t="n">
        <v>10</v>
      </c>
      <c r="B40" s="5" t="inlineStr">
        <is>
          <t>吴俊杰</t>
        </is>
      </c>
      <c r="C40" s="5" t="n">
        <v>76</v>
      </c>
      <c r="D40" s="5" t="n">
        <v>54</v>
      </c>
      <c r="E40" s="5" t="n">
        <v>55</v>
      </c>
      <c r="F40" s="5" t="n">
        <v>64</v>
      </c>
      <c r="G40" s="5" t="n">
        <v>48</v>
      </c>
      <c r="H40" s="5">
        <f>SUM(C40:G40)</f>
        <v/>
      </c>
      <c r="I40" s="5" t="n">
        <v>76</v>
      </c>
      <c r="J40" s="5" t="n">
        <v>48</v>
      </c>
      <c r="K40" s="5" t="n">
        <v>28</v>
      </c>
      <c r="L40" s="5" t="inlineStr">
        <is>
          <t>否</t>
        </is>
      </c>
      <c r="M40" s="5" t="inlineStr">
        <is>
          <t>语文</t>
        </is>
      </c>
      <c r="N40" s="5" t="inlineStr">
        <is>
          <t>化学</t>
        </is>
      </c>
    </row>
    <row r="41">
      <c r="A41" s="5" t="n">
        <v>4</v>
      </c>
      <c r="B41" s="5" t="inlineStr">
        <is>
          <t>陈嘉怡</t>
        </is>
      </c>
      <c r="C41" s="5" t="n">
        <v>82</v>
      </c>
      <c r="D41" s="5" t="n">
        <v>50</v>
      </c>
      <c r="E41" s="5" t="n">
        <v>51</v>
      </c>
      <c r="F41" s="5" t="n">
        <v>45</v>
      </c>
      <c r="G41" s="5" t="n">
        <v>55</v>
      </c>
      <c r="H41" s="5">
        <f>SUM(C41:G41)</f>
        <v/>
      </c>
      <c r="I41" s="5" t="n">
        <v>82</v>
      </c>
      <c r="J41" s="5" t="n">
        <v>45</v>
      </c>
      <c r="K41" s="5" t="n">
        <v>37</v>
      </c>
      <c r="L41" s="5" t="inlineStr">
        <is>
          <t>是</t>
        </is>
      </c>
      <c r="M41" s="5" t="inlineStr">
        <is>
          <t>语文</t>
        </is>
      </c>
      <c r="N41" s="5" t="inlineStr">
        <is>
          <t>物理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10" customWidth="1" min="5" max="5"/>
    <col width="12" customWidth="1" min="6" max="6"/>
    <col width="10" customWidth="1" min="7" max="7"/>
    <col width="12" customWidth="1" min="8" max="8"/>
    <col width="13" customWidth="1" min="9" max="9"/>
    <col width="7" customWidth="1" min="10" max="10"/>
  </cols>
  <sheetData>
    <row r="1">
      <c r="A1" s="4" t="inlineStr">
        <is>
          <t>科目</t>
        </is>
      </c>
      <c r="B1" s="4" t="inlineStr">
        <is>
          <t>平均分</t>
        </is>
      </c>
      <c r="C1" s="4" t="inlineStr">
        <is>
          <t>最高分</t>
        </is>
      </c>
      <c r="D1" s="4" t="inlineStr">
        <is>
          <t>最低分</t>
        </is>
      </c>
      <c r="E1" s="4" t="inlineStr">
        <is>
          <t>及格人数</t>
        </is>
      </c>
      <c r="F1" s="4" t="inlineStr">
        <is>
          <t>及格率(≥60)</t>
        </is>
      </c>
      <c r="G1" s="4" t="inlineStr">
        <is>
          <t>优秀人数</t>
        </is>
      </c>
      <c r="H1" s="4" t="inlineStr">
        <is>
          <t>优秀率(≥85)</t>
        </is>
      </c>
      <c r="I1" s="4" t="inlineStr">
        <is>
          <t>与全科均分差</t>
        </is>
      </c>
      <c r="J1" s="4" t="inlineStr">
        <is>
          <t>极差</t>
        </is>
      </c>
    </row>
    <row r="2">
      <c r="A2" s="5" t="inlineStr">
        <is>
          <t>语文</t>
        </is>
      </c>
      <c r="B2" s="6">
        <f>ROUND(AVERAGE('学生明细'!C$2:C$41),1)</f>
        <v/>
      </c>
      <c r="C2" s="5">
        <f>MAX('学生明细'!C$2:C$41)</f>
        <v/>
      </c>
      <c r="D2" s="5">
        <f>MIN('学生明细'!C$2:C$41)</f>
        <v/>
      </c>
      <c r="E2" s="5">
        <f>COUNTIF('学生明细'!C$2:C$41,"&gt;=60")</f>
        <v/>
      </c>
      <c r="F2" s="7">
        <f>COUNTIF('学生明细'!C$2:C$41,"&gt;=60")/40</f>
        <v/>
      </c>
      <c r="G2" s="5">
        <f>COUNTIF('学生明细'!C$2:C$41,"&gt;=85")</f>
        <v/>
      </c>
      <c r="H2" s="7">
        <f>COUNTIF('学生明细'!C$2:C$41,"&gt;=85")/40</f>
        <v/>
      </c>
      <c r="I2" s="6">
        <f>ROUND(B2-AVERAGE($B$2:$B$6),1)</f>
        <v/>
      </c>
      <c r="J2" s="5">
        <f>C2-D2</f>
        <v/>
      </c>
    </row>
    <row r="3">
      <c r="A3" s="5" t="inlineStr">
        <is>
          <t>数学</t>
        </is>
      </c>
      <c r="B3" s="6">
        <f>ROUND(AVERAGE('学生明细'!D$2:D$41),1)</f>
        <v/>
      </c>
      <c r="C3" s="5">
        <f>MAX('学生明细'!D$2:D$41)</f>
        <v/>
      </c>
      <c r="D3" s="5">
        <f>MIN('学生明细'!D$2:D$41)</f>
        <v/>
      </c>
      <c r="E3" s="5">
        <f>COUNTIF('学生明细'!D$2:D$41,"&gt;=60")</f>
        <v/>
      </c>
      <c r="F3" s="7">
        <f>COUNTIF('学生明细'!D$2:D$41,"&gt;=60")/40</f>
        <v/>
      </c>
      <c r="G3" s="5">
        <f>COUNTIF('学生明细'!D$2:D$41,"&gt;=85")</f>
        <v/>
      </c>
      <c r="H3" s="7">
        <f>COUNTIF('学生明细'!D$2:D$41,"&gt;=85")/40</f>
        <v/>
      </c>
      <c r="I3" s="6">
        <f>ROUND(B3-AVERAGE($B$2:$B$6),1)</f>
        <v/>
      </c>
      <c r="J3" s="5">
        <f>C3-D3</f>
        <v/>
      </c>
    </row>
    <row r="4">
      <c r="A4" s="5" t="inlineStr">
        <is>
          <t>英语</t>
        </is>
      </c>
      <c r="B4" s="6">
        <f>ROUND(AVERAGE('学生明细'!E$2:E$41),1)</f>
        <v/>
      </c>
      <c r="C4" s="5">
        <f>MAX('学生明细'!E$2:E$41)</f>
        <v/>
      </c>
      <c r="D4" s="5">
        <f>MIN('学生明细'!E$2:E$41)</f>
        <v/>
      </c>
      <c r="E4" s="5">
        <f>COUNTIF('学生明细'!E$2:E$41,"&gt;=60")</f>
        <v/>
      </c>
      <c r="F4" s="7">
        <f>COUNTIF('学生明细'!E$2:E$41,"&gt;=60")/40</f>
        <v/>
      </c>
      <c r="G4" s="5">
        <f>COUNTIF('学生明细'!E$2:E$41,"&gt;=85")</f>
        <v/>
      </c>
      <c r="H4" s="7">
        <f>COUNTIF('学生明细'!E$2:E$41,"&gt;=85")/40</f>
        <v/>
      </c>
      <c r="I4" s="6">
        <f>ROUND(B4-AVERAGE($B$2:$B$6),1)</f>
        <v/>
      </c>
      <c r="J4" s="5">
        <f>C4-D4</f>
        <v/>
      </c>
    </row>
    <row r="5">
      <c r="A5" s="5" t="inlineStr">
        <is>
          <t>物理</t>
        </is>
      </c>
      <c r="B5" s="6">
        <f>ROUND(AVERAGE('学生明细'!F$2:F$41),1)</f>
        <v/>
      </c>
      <c r="C5" s="5">
        <f>MAX('学生明细'!F$2:F$41)</f>
        <v/>
      </c>
      <c r="D5" s="5">
        <f>MIN('学生明细'!F$2:F$41)</f>
        <v/>
      </c>
      <c r="E5" s="5">
        <f>COUNTIF('学生明细'!F$2:F$41,"&gt;=60")</f>
        <v/>
      </c>
      <c r="F5" s="7">
        <f>COUNTIF('学生明细'!F$2:F$41,"&gt;=60")/40</f>
        <v/>
      </c>
      <c r="G5" s="5">
        <f>COUNTIF('学生明细'!F$2:F$41,"&gt;=85")</f>
        <v/>
      </c>
      <c r="H5" s="7">
        <f>COUNTIF('学生明细'!F$2:F$41,"&gt;=85")/40</f>
        <v/>
      </c>
      <c r="I5" s="6">
        <f>ROUND(B5-AVERAGE($B$2:$B$6),1)</f>
        <v/>
      </c>
      <c r="J5" s="5">
        <f>C5-D5</f>
        <v/>
      </c>
    </row>
    <row r="6">
      <c r="A6" s="5" t="inlineStr">
        <is>
          <t>化学</t>
        </is>
      </c>
      <c r="B6" s="6">
        <f>ROUND(AVERAGE('学生明细'!G$2:G$41),1)</f>
        <v/>
      </c>
      <c r="C6" s="5">
        <f>MAX('学生明细'!G$2:G$41)</f>
        <v/>
      </c>
      <c r="D6" s="5">
        <f>MIN('学生明细'!G$2:G$41)</f>
        <v/>
      </c>
      <c r="E6" s="5">
        <f>COUNTIF('学生明细'!G$2:G$41,"&gt;=60")</f>
        <v/>
      </c>
      <c r="F6" s="7">
        <f>COUNTIF('学生明细'!G$2:G$41,"&gt;=60")/40</f>
        <v/>
      </c>
      <c r="G6" s="5">
        <f>COUNTIF('学生明细'!G$2:G$41,"&gt;=85")</f>
        <v/>
      </c>
      <c r="H6" s="7">
        <f>COUNTIF('学生明细'!G$2:G$41,"&gt;=85")/40</f>
        <v/>
      </c>
      <c r="I6" s="6">
        <f>ROUND(B6-AVERAGE($B$2:$B$6),1)</f>
        <v/>
      </c>
      <c r="J6" s="5">
        <f>C6-D6</f>
        <v/>
      </c>
    </row>
    <row r="7">
      <c r="A7" s="8" t="inlineStr">
        <is>
          <t>总分</t>
        </is>
      </c>
      <c r="B7" s="9">
        <f>ROUND(AVERAGE('学生明细'!H$2:H$41),1)</f>
        <v/>
      </c>
      <c r="C7" s="8">
        <f>MAX('学生明细'!H$2:H$41)</f>
        <v/>
      </c>
      <c r="D7" s="8">
        <f>MIN('学生明细'!H$2:H$41)</f>
        <v/>
      </c>
      <c r="E7" s="8" t="n"/>
      <c r="F7" s="10" t="inlineStr">
        <is>
          <t>-</t>
        </is>
      </c>
      <c r="G7" s="8" t="n"/>
      <c r="H7" s="10" t="inlineStr">
        <is>
          <t>-</t>
        </is>
      </c>
      <c r="I7" s="9" t="inlineStr">
        <is>
          <t>-</t>
        </is>
      </c>
      <c r="J7" s="8">
        <f>C7-D7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2" customWidth="1" min="4" max="4"/>
    <col width="12" customWidth="1" min="5" max="5"/>
    <col width="11" customWidth="1" min="6" max="6"/>
  </cols>
  <sheetData>
    <row r="1">
      <c r="A1" s="4" t="inlineStr">
        <is>
          <t>科目</t>
        </is>
      </c>
      <c r="B1" s="4" t="inlineStr">
        <is>
          <t>优秀(≥85)</t>
        </is>
      </c>
      <c r="C1" s="4" t="inlineStr">
        <is>
          <t>良好(70-84)</t>
        </is>
      </c>
      <c r="D1" s="4" t="inlineStr">
        <is>
          <t>及格(60-69)</t>
        </is>
      </c>
      <c r="E1" s="4" t="inlineStr">
        <is>
          <t>不及格(&lt;60)</t>
        </is>
      </c>
      <c r="F1" s="4" t="inlineStr">
        <is>
          <t>薄弱程度</t>
        </is>
      </c>
    </row>
    <row r="2">
      <c r="A2" s="5" t="inlineStr">
        <is>
          <t>语文</t>
        </is>
      </c>
      <c r="B2" s="5">
        <f>COUNTIF('学生明细'!C$2:C$41,"&gt;=85")</f>
        <v/>
      </c>
      <c r="C2" s="5">
        <f>COUNTIFS('学生明细'!C$2:C$41,"&gt;=70",'学生明细'!C$2:C$41,"&lt;=84")</f>
        <v/>
      </c>
      <c r="D2" s="5">
        <f>COUNTIFS('学生明细'!C$2:C$41,"&gt;=60",'学生明细'!C$2:C$41,"&lt;=69")</f>
        <v/>
      </c>
      <c r="E2" s="5">
        <f>COUNTIF('学生明细'!C$2:C$41,"&lt;60")</f>
        <v/>
      </c>
      <c r="F2" s="5" t="inlineStr">
        <is>
          <t>一般</t>
        </is>
      </c>
    </row>
    <row r="3">
      <c r="A3" s="5" t="inlineStr">
        <is>
          <t>数学</t>
        </is>
      </c>
      <c r="B3" s="5">
        <f>COUNTIF('学生明细'!D$2:D$41,"&gt;=85")</f>
        <v/>
      </c>
      <c r="C3" s="5">
        <f>COUNTIFS('学生明细'!D$2:D$41,"&gt;=70",'学生明细'!D$2:D$41,"&lt;=84")</f>
        <v/>
      </c>
      <c r="D3" s="5">
        <f>COUNTIFS('学生明细'!D$2:D$41,"&gt;=60",'学生明细'!D$2:D$41,"&lt;=69")</f>
        <v/>
      </c>
      <c r="E3" s="5">
        <f>COUNTIF('学生明细'!D$2:D$41,"&lt;60")</f>
        <v/>
      </c>
      <c r="F3" s="5" t="inlineStr">
        <is>
          <t>明显薄弱</t>
        </is>
      </c>
    </row>
    <row r="4">
      <c r="A4" s="5" t="inlineStr">
        <is>
          <t>英语</t>
        </is>
      </c>
      <c r="B4" s="5">
        <f>COUNTIF('学生明细'!E$2:E$41,"&gt;=85")</f>
        <v/>
      </c>
      <c r="C4" s="5">
        <f>COUNTIFS('学生明细'!E$2:E$41,"&gt;=70",'学生明细'!E$2:E$41,"&lt;=84")</f>
        <v/>
      </c>
      <c r="D4" s="5">
        <f>COUNTIFS('学生明细'!E$2:E$41,"&gt;=60",'学生明细'!E$2:E$41,"&lt;=69")</f>
        <v/>
      </c>
      <c r="E4" s="5">
        <f>COUNTIF('学生明细'!E$2:E$41,"&lt;60")</f>
        <v/>
      </c>
      <c r="F4" s="5" t="inlineStr">
        <is>
          <t>一般</t>
        </is>
      </c>
    </row>
    <row r="5">
      <c r="A5" s="5" t="inlineStr">
        <is>
          <t>物理</t>
        </is>
      </c>
      <c r="B5" s="5">
        <f>COUNTIF('学生明细'!F$2:F$41,"&gt;=85")</f>
        <v/>
      </c>
      <c r="C5" s="5">
        <f>COUNTIFS('学生明细'!F$2:F$41,"&gt;=70",'学生明细'!F$2:F$41,"&lt;=84")</f>
        <v/>
      </c>
      <c r="D5" s="5">
        <f>COUNTIFS('学生明细'!F$2:F$41,"&gt;=60",'学生明细'!F$2:F$41,"&lt;=69")</f>
        <v/>
      </c>
      <c r="E5" s="5">
        <f>COUNTIF('学生明细'!F$2:F$41,"&lt;60")</f>
        <v/>
      </c>
      <c r="F5" s="5" t="inlineStr">
        <is>
          <t>明显薄弱</t>
        </is>
      </c>
    </row>
    <row r="6">
      <c r="A6" s="5" t="inlineStr">
        <is>
          <t>化学</t>
        </is>
      </c>
      <c r="B6" s="5">
        <f>COUNTIF('学生明细'!G$2:G$41,"&gt;=85")</f>
        <v/>
      </c>
      <c r="C6" s="5">
        <f>COUNTIFS('学生明细'!G$2:G$41,"&gt;=70",'学生明细'!G$2:G$41,"&lt;=84")</f>
        <v/>
      </c>
      <c r="D6" s="5">
        <f>COUNTIFS('学生明细'!G$2:G$41,"&gt;=60",'学生明细'!G$2:G$41,"&lt;=69")</f>
        <v/>
      </c>
      <c r="E6" s="5">
        <f>COUNTIF('学生明细'!G$2:G$41,"&lt;60")</f>
        <v/>
      </c>
      <c r="F6" s="5" t="inlineStr">
        <is>
          <t>严重薄弱</t>
        </is>
      </c>
    </row>
    <row r="7">
      <c r="A7" s="8" t="inlineStr">
        <is>
          <t>合计</t>
        </is>
      </c>
      <c r="B7" s="8">
        <f>SUM(B2:B6)</f>
        <v/>
      </c>
      <c r="C7" s="8">
        <f>SUM(C2:C6)</f>
        <v/>
      </c>
      <c r="D7" s="8">
        <f>SUM(D2:D6)</f>
        <v/>
      </c>
      <c r="E7" s="8">
        <f>SUM(E2:E6)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7" customWidth="1" min="9" max="9"/>
    <col width="8" customWidth="1" min="10" max="10"/>
    <col width="9" customWidth="1" min="11" max="11"/>
    <col width="6" customWidth="1" min="12" max="12"/>
    <col width="16" customWidth="1" min="13" max="13"/>
  </cols>
  <sheetData>
    <row r="1">
      <c r="A1" s="4" t="inlineStr">
        <is>
          <t>排名</t>
        </is>
      </c>
      <c r="B1" s="4" t="inlineStr">
        <is>
          <t>学号</t>
        </is>
      </c>
      <c r="C1" s="4" t="inlineStr">
        <is>
          <t>姓名</t>
        </is>
      </c>
      <c r="D1" s="4" t="inlineStr">
        <is>
          <t>语文</t>
        </is>
      </c>
      <c r="E1" s="4" t="inlineStr">
        <is>
          <t>数学</t>
        </is>
      </c>
      <c r="F1" s="4" t="inlineStr">
        <is>
          <t>英语</t>
        </is>
      </c>
      <c r="G1" s="4" t="inlineStr">
        <is>
          <t>物理</t>
        </is>
      </c>
      <c r="H1" s="4" t="inlineStr">
        <is>
          <t>化学</t>
        </is>
      </c>
      <c r="I1" s="4" t="inlineStr">
        <is>
          <t>总分</t>
        </is>
      </c>
      <c r="J1" s="4" t="inlineStr">
        <is>
          <t>最高科</t>
        </is>
      </c>
      <c r="K1" s="4" t="inlineStr">
        <is>
          <t>最低科</t>
        </is>
      </c>
      <c r="L1" s="4" t="inlineStr">
        <is>
          <t>分差</t>
        </is>
      </c>
      <c r="M1" s="4" t="inlineStr">
        <is>
          <t>备注</t>
        </is>
      </c>
    </row>
    <row r="2">
      <c r="A2" s="5" t="n">
        <v>1</v>
      </c>
      <c r="B2" s="5" t="n">
        <v>35</v>
      </c>
      <c r="C2" s="5" t="inlineStr">
        <is>
          <t>蔡梦洁</t>
        </is>
      </c>
      <c r="D2" s="5" t="n">
        <v>98</v>
      </c>
      <c r="E2" s="5" t="n">
        <v>82</v>
      </c>
      <c r="F2" s="5" t="n">
        <v>67</v>
      </c>
      <c r="G2" s="5" t="n">
        <v>89</v>
      </c>
      <c r="H2" s="5" t="n">
        <v>83</v>
      </c>
      <c r="I2" s="5">
        <f>SUM(D2:H2)</f>
        <v/>
      </c>
      <c r="J2" s="5" t="inlineStr">
        <is>
          <t>语文</t>
        </is>
      </c>
      <c r="K2" s="5" t="inlineStr">
        <is>
          <t>英语</t>
        </is>
      </c>
      <c r="L2" s="5" t="n">
        <v>31</v>
      </c>
      <c r="M2" s="5" t="inlineStr">
        <is>
          <t>英语偏弱</t>
        </is>
      </c>
    </row>
    <row r="3">
      <c r="A3" s="5" t="n">
        <v>2</v>
      </c>
      <c r="B3" s="5" t="n">
        <v>6</v>
      </c>
      <c r="C3" s="5" t="inlineStr">
        <is>
          <t>张梓萱</t>
        </is>
      </c>
      <c r="D3" s="5" t="n">
        <v>67</v>
      </c>
      <c r="E3" s="5" t="n">
        <v>93</v>
      </c>
      <c r="F3" s="5" t="n">
        <v>91</v>
      </c>
      <c r="G3" s="5" t="n">
        <v>84</v>
      </c>
      <c r="H3" s="5" t="n">
        <v>76</v>
      </c>
      <c r="I3" s="5">
        <f>SUM(D3:H3)</f>
        <v/>
      </c>
      <c r="J3" s="5" t="inlineStr">
        <is>
          <t>数学</t>
        </is>
      </c>
      <c r="K3" s="5" t="inlineStr">
        <is>
          <t>语文</t>
        </is>
      </c>
      <c r="L3" s="5" t="n">
        <v>26</v>
      </c>
      <c r="M3" s="5" t="inlineStr">
        <is>
          <t>均衡发展</t>
        </is>
      </c>
    </row>
    <row r="4">
      <c r="A4" s="5" t="n">
        <v>3</v>
      </c>
      <c r="B4" s="5" t="n">
        <v>22</v>
      </c>
      <c r="C4" s="5" t="inlineStr">
        <is>
          <t>梁家豪</t>
        </is>
      </c>
      <c r="D4" s="5" t="n">
        <v>95</v>
      </c>
      <c r="E4" s="5" t="n">
        <v>92</v>
      </c>
      <c r="F4" s="5" t="n">
        <v>85</v>
      </c>
      <c r="G4" s="5" t="n">
        <v>54</v>
      </c>
      <c r="H4" s="5" t="n">
        <v>85</v>
      </c>
      <c r="I4" s="5">
        <f>SUM(D4:H4)</f>
        <v/>
      </c>
      <c r="J4" s="5" t="inlineStr">
        <is>
          <t>语文</t>
        </is>
      </c>
      <c r="K4" s="5" t="inlineStr">
        <is>
          <t>物理</t>
        </is>
      </c>
      <c r="L4" s="5" t="n">
        <v>41</v>
      </c>
      <c r="M4" s="5" t="inlineStr">
        <is>
          <t>物理严重偏科</t>
        </is>
      </c>
    </row>
    <row r="5">
      <c r="A5" s="5" t="n">
        <v>4</v>
      </c>
      <c r="B5" s="5" t="n">
        <v>28</v>
      </c>
      <c r="C5" s="5" t="inlineStr">
        <is>
          <t>冯俊凯</t>
        </is>
      </c>
      <c r="D5" s="5" t="n">
        <v>90</v>
      </c>
      <c r="E5" s="5" t="n">
        <v>82</v>
      </c>
      <c r="F5" s="5" t="n">
        <v>66</v>
      </c>
      <c r="G5" s="5" t="n">
        <v>87</v>
      </c>
      <c r="H5" s="5" t="n">
        <v>79</v>
      </c>
      <c r="I5" s="5">
        <f>SUM(D5:H5)</f>
        <v/>
      </c>
      <c r="J5" s="5" t="inlineStr">
        <is>
          <t>语文</t>
        </is>
      </c>
      <c r="K5" s="5" t="inlineStr">
        <is>
          <t>英语</t>
        </is>
      </c>
      <c r="L5" s="5" t="n">
        <v>24</v>
      </c>
      <c r="M5" s="5" t="inlineStr">
        <is>
          <t>均衡发展</t>
        </is>
      </c>
    </row>
    <row r="6">
      <c r="A6" s="5" t="n">
        <v>5</v>
      </c>
      <c r="B6" s="5" t="n">
        <v>39</v>
      </c>
      <c r="C6" s="5" t="inlineStr">
        <is>
          <t>田欣怡</t>
        </is>
      </c>
      <c r="D6" s="5" t="n">
        <v>95</v>
      </c>
      <c r="E6" s="5" t="n">
        <v>67</v>
      </c>
      <c r="F6" s="5" t="n">
        <v>90</v>
      </c>
      <c r="G6" s="5" t="n">
        <v>72</v>
      </c>
      <c r="H6" s="5" t="n">
        <v>80</v>
      </c>
      <c r="I6" s="5">
        <f>SUM(D6:H6)</f>
        <v/>
      </c>
      <c r="J6" s="5" t="inlineStr">
        <is>
          <t>语文</t>
        </is>
      </c>
      <c r="K6" s="5" t="inlineStr">
        <is>
          <t>数学</t>
        </is>
      </c>
      <c r="L6" s="5" t="n">
        <v>28</v>
      </c>
      <c r="M6" s="5" t="inlineStr">
        <is>
          <t>均衡发展</t>
        </is>
      </c>
    </row>
    <row r="7">
      <c r="A7" s="5" t="n">
        <v>6</v>
      </c>
      <c r="B7" s="5" t="n">
        <v>20</v>
      </c>
      <c r="C7" s="5" t="inlineStr">
        <is>
          <t>罗志强</t>
        </is>
      </c>
      <c r="D7" s="5" t="n">
        <v>93</v>
      </c>
      <c r="E7" s="5" t="n">
        <v>88</v>
      </c>
      <c r="F7" s="5" t="n">
        <v>60</v>
      </c>
      <c r="G7" s="5" t="n">
        <v>74</v>
      </c>
      <c r="H7" s="5" t="n">
        <v>88</v>
      </c>
      <c r="I7" s="5">
        <f>SUM(D7:H7)</f>
        <v/>
      </c>
      <c r="J7" s="5" t="inlineStr">
        <is>
          <t>语文</t>
        </is>
      </c>
      <c r="K7" s="5" t="inlineStr">
        <is>
          <t>英语</t>
        </is>
      </c>
      <c r="L7" s="5" t="n">
        <v>33</v>
      </c>
      <c r="M7" s="5" t="inlineStr">
        <is>
          <t>英语偏弱</t>
        </is>
      </c>
    </row>
    <row r="8">
      <c r="A8" s="5" t="n">
        <v>7</v>
      </c>
      <c r="B8" s="5" t="n">
        <v>3</v>
      </c>
      <c r="C8" s="5" t="inlineStr">
        <is>
          <t>王浩然</t>
        </is>
      </c>
      <c r="D8" s="5" t="n">
        <v>98</v>
      </c>
      <c r="E8" s="5" t="n">
        <v>95</v>
      </c>
      <c r="F8" s="5" t="n">
        <v>84</v>
      </c>
      <c r="G8" s="5" t="n">
        <v>45</v>
      </c>
      <c r="H8" s="5" t="n">
        <v>79</v>
      </c>
      <c r="I8" s="5">
        <f>SUM(D8:H8)</f>
        <v/>
      </c>
      <c r="J8" s="5" t="inlineStr">
        <is>
          <t>语文</t>
        </is>
      </c>
      <c r="K8" s="5" t="inlineStr">
        <is>
          <t>物理</t>
        </is>
      </c>
      <c r="L8" s="5" t="n">
        <v>53</v>
      </c>
      <c r="M8" s="5" t="inlineStr">
        <is>
          <t>物理严重偏科</t>
        </is>
      </c>
    </row>
    <row r="9">
      <c r="A9" s="5" t="n">
        <v>8</v>
      </c>
      <c r="B9" s="5" t="n">
        <v>14</v>
      </c>
      <c r="C9" s="5" t="inlineStr">
        <is>
          <t>朱天宇</t>
        </is>
      </c>
      <c r="D9" s="5" t="n">
        <v>94</v>
      </c>
      <c r="E9" s="5" t="n">
        <v>71</v>
      </c>
      <c r="F9" s="5" t="n">
        <v>86</v>
      </c>
      <c r="G9" s="5" t="n">
        <v>52</v>
      </c>
      <c r="H9" s="5" t="n">
        <v>87</v>
      </c>
      <c r="I9" s="5">
        <f>SUM(D9:H9)</f>
        <v/>
      </c>
      <c r="J9" s="5" t="inlineStr">
        <is>
          <t>语文</t>
        </is>
      </c>
      <c r="K9" s="5" t="inlineStr">
        <is>
          <t>物理</t>
        </is>
      </c>
      <c r="L9" s="5" t="n">
        <v>42</v>
      </c>
      <c r="M9" s="5" t="inlineStr">
        <is>
          <t>物理严重偏科</t>
        </is>
      </c>
    </row>
    <row r="10">
      <c r="A10" s="5" t="n">
        <v>9</v>
      </c>
      <c r="B10" s="5" t="n">
        <v>26</v>
      </c>
      <c r="C10" s="5" t="inlineStr">
        <is>
          <t>许文博</t>
        </is>
      </c>
      <c r="D10" s="5" t="n">
        <v>68</v>
      </c>
      <c r="E10" s="5" t="n">
        <v>89</v>
      </c>
      <c r="F10" s="5" t="n">
        <v>81</v>
      </c>
      <c r="G10" s="5" t="n">
        <v>65</v>
      </c>
      <c r="H10" s="5" t="n">
        <v>83</v>
      </c>
      <c r="I10" s="5">
        <f>SUM(D10:H10)</f>
        <v/>
      </c>
      <c r="J10" s="5" t="inlineStr">
        <is>
          <t>数学</t>
        </is>
      </c>
      <c r="K10" s="5" t="inlineStr">
        <is>
          <t>物理</t>
        </is>
      </c>
      <c r="L10" s="5" t="n">
        <v>24</v>
      </c>
      <c r="M10" s="5" t="inlineStr">
        <is>
          <t>均衡发展</t>
        </is>
      </c>
    </row>
    <row r="11">
      <c r="A11" s="5" t="n">
        <v>10</v>
      </c>
      <c r="B11" s="5" t="n">
        <v>11</v>
      </c>
      <c r="C11" s="5" t="inlineStr">
        <is>
          <t>徐若曦</t>
        </is>
      </c>
      <c r="D11" s="5" t="n">
        <v>77</v>
      </c>
      <c r="E11" s="5" t="n">
        <v>70</v>
      </c>
      <c r="F11" s="5" t="n">
        <v>88</v>
      </c>
      <c r="G11" s="5" t="n">
        <v>56</v>
      </c>
      <c r="H11" s="5" t="n">
        <v>93</v>
      </c>
      <c r="I11" s="5">
        <f>SUM(D11:H11)</f>
        <v/>
      </c>
      <c r="J11" s="5" t="inlineStr">
        <is>
          <t>化学</t>
        </is>
      </c>
      <c r="K11" s="5" t="inlineStr">
        <is>
          <t>物理</t>
        </is>
      </c>
      <c r="L11" s="5" t="n">
        <v>37</v>
      </c>
      <c r="M11" s="5" t="inlineStr">
        <is>
          <t>物理偏弱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7" customWidth="1" min="9" max="9"/>
    <col width="8" customWidth="1" min="10" max="10"/>
    <col width="9" customWidth="1" min="11" max="11"/>
    <col width="6" customWidth="1" min="12" max="12"/>
    <col width="16" customWidth="1" min="13" max="13"/>
  </cols>
  <sheetData>
    <row r="1">
      <c r="A1" s="4" t="inlineStr">
        <is>
          <t>排名</t>
        </is>
      </c>
      <c r="B1" s="4" t="inlineStr">
        <is>
          <t>学号</t>
        </is>
      </c>
      <c r="C1" s="4" t="inlineStr">
        <is>
          <t>姓名</t>
        </is>
      </c>
      <c r="D1" s="4" t="inlineStr">
        <is>
          <t>语文</t>
        </is>
      </c>
      <c r="E1" s="4" t="inlineStr">
        <is>
          <t>数学</t>
        </is>
      </c>
      <c r="F1" s="4" t="inlineStr">
        <is>
          <t>英语</t>
        </is>
      </c>
      <c r="G1" s="4" t="inlineStr">
        <is>
          <t>物理</t>
        </is>
      </c>
      <c r="H1" s="4" t="inlineStr">
        <is>
          <t>化学</t>
        </is>
      </c>
      <c r="I1" s="4" t="inlineStr">
        <is>
          <t>总分</t>
        </is>
      </c>
      <c r="J1" s="4" t="inlineStr">
        <is>
          <t>最高科</t>
        </is>
      </c>
      <c r="K1" s="4" t="inlineStr">
        <is>
          <t>最低科</t>
        </is>
      </c>
      <c r="L1" s="4" t="inlineStr">
        <is>
          <t>分差</t>
        </is>
      </c>
      <c r="M1" s="4" t="inlineStr">
        <is>
          <t>备注</t>
        </is>
      </c>
    </row>
    <row r="2">
      <c r="A2" s="5" t="n">
        <v>31</v>
      </c>
      <c r="B2" s="5" t="n">
        <v>9</v>
      </c>
      <c r="C2" s="5" t="inlineStr">
        <is>
          <t>周梦琪</t>
        </is>
      </c>
      <c r="D2" s="5" t="n">
        <v>76</v>
      </c>
      <c r="E2" s="5" t="n">
        <v>65</v>
      </c>
      <c r="F2" s="5" t="n">
        <v>59</v>
      </c>
      <c r="G2" s="5" t="n">
        <v>53</v>
      </c>
      <c r="H2" s="5" t="n">
        <v>90</v>
      </c>
      <c r="I2" s="5">
        <f>SUM(D2:H2)</f>
        <v/>
      </c>
      <c r="J2" s="5" t="inlineStr">
        <is>
          <t>化学</t>
        </is>
      </c>
      <c r="K2" s="5" t="inlineStr">
        <is>
          <t>物理</t>
        </is>
      </c>
      <c r="L2" s="5" t="n">
        <v>37</v>
      </c>
      <c r="M2" s="5" t="inlineStr">
        <is>
          <t>物理偏弱</t>
        </is>
      </c>
    </row>
    <row r="3">
      <c r="A3" s="5" t="n">
        <v>32</v>
      </c>
      <c r="B3" s="5" t="n">
        <v>40</v>
      </c>
      <c r="C3" s="5" t="inlineStr">
        <is>
          <t>熊家俊</t>
        </is>
      </c>
      <c r="D3" s="5" t="n">
        <v>67</v>
      </c>
      <c r="E3" s="5" t="n">
        <v>57</v>
      </c>
      <c r="F3" s="5" t="n">
        <v>73</v>
      </c>
      <c r="G3" s="5" t="n">
        <v>88</v>
      </c>
      <c r="H3" s="5" t="n">
        <v>52</v>
      </c>
      <c r="I3" s="5">
        <f>SUM(D3:H3)</f>
        <v/>
      </c>
      <c r="J3" s="5" t="inlineStr">
        <is>
          <t>物理</t>
        </is>
      </c>
      <c r="K3" s="5" t="inlineStr">
        <is>
          <t>化学</t>
        </is>
      </c>
      <c r="L3" s="5" t="n">
        <v>36</v>
      </c>
      <c r="M3" s="5" t="inlineStr">
        <is>
          <t>化学偏弱</t>
        </is>
      </c>
    </row>
    <row r="4">
      <c r="A4" s="5" t="n">
        <v>33</v>
      </c>
      <c r="B4" s="5" t="n">
        <v>16</v>
      </c>
      <c r="C4" s="5" t="inlineStr">
        <is>
          <t>郭子轩</t>
        </is>
      </c>
      <c r="D4" s="5" t="n">
        <v>73</v>
      </c>
      <c r="E4" s="5" t="n">
        <v>53</v>
      </c>
      <c r="F4" s="5" t="n">
        <v>64</v>
      </c>
      <c r="G4" s="5" t="n">
        <v>95</v>
      </c>
      <c r="H4" s="5" t="n">
        <v>48</v>
      </c>
      <c r="I4" s="5">
        <f>SUM(D4:H4)</f>
        <v/>
      </c>
      <c r="J4" s="5" t="inlineStr">
        <is>
          <t>物理</t>
        </is>
      </c>
      <c r="K4" s="5" t="inlineStr">
        <is>
          <t>化学</t>
        </is>
      </c>
      <c r="L4" s="5" t="n">
        <v>47</v>
      </c>
      <c r="M4" s="5" t="inlineStr">
        <is>
          <t>化学严重偏科</t>
        </is>
      </c>
    </row>
    <row r="5">
      <c r="A5" s="5" t="n">
        <v>34</v>
      </c>
      <c r="B5" s="5" t="n">
        <v>21</v>
      </c>
      <c r="C5" s="5" t="inlineStr">
        <is>
          <t>郑晓彤</t>
        </is>
      </c>
      <c r="D5" s="5" t="n">
        <v>70</v>
      </c>
      <c r="E5" s="5" t="n">
        <v>58</v>
      </c>
      <c r="F5" s="5" t="n">
        <v>79</v>
      </c>
      <c r="G5" s="5" t="n">
        <v>64</v>
      </c>
      <c r="H5" s="5" t="n">
        <v>59</v>
      </c>
      <c r="I5" s="5">
        <f>SUM(D5:H5)</f>
        <v/>
      </c>
      <c r="J5" s="5" t="inlineStr">
        <is>
          <t>英语</t>
        </is>
      </c>
      <c r="K5" s="5" t="inlineStr">
        <is>
          <t>数学</t>
        </is>
      </c>
      <c r="L5" s="5" t="n">
        <v>21</v>
      </c>
      <c r="M5" s="5" t="inlineStr">
        <is>
          <t>均衡发展</t>
        </is>
      </c>
    </row>
    <row r="6">
      <c r="A6" s="5" t="n">
        <v>35</v>
      </c>
      <c r="B6" s="5" t="n">
        <v>2</v>
      </c>
      <c r="C6" s="5" t="inlineStr">
        <is>
          <t>李思远</t>
        </is>
      </c>
      <c r="D6" s="5" t="n">
        <v>70</v>
      </c>
      <c r="E6" s="5" t="n">
        <v>62</v>
      </c>
      <c r="F6" s="5" t="n">
        <v>58</v>
      </c>
      <c r="G6" s="5" t="n">
        <v>87</v>
      </c>
      <c r="H6" s="5" t="n">
        <v>48</v>
      </c>
      <c r="I6" s="5">
        <f>SUM(D6:H6)</f>
        <v/>
      </c>
      <c r="J6" s="5" t="inlineStr">
        <is>
          <t>物理</t>
        </is>
      </c>
      <c r="K6" s="5" t="inlineStr">
        <is>
          <t>化学</t>
        </is>
      </c>
      <c r="L6" s="5" t="n">
        <v>39</v>
      </c>
      <c r="M6" s="5" t="inlineStr">
        <is>
          <t>化学偏弱</t>
        </is>
      </c>
    </row>
    <row r="7">
      <c r="A7" s="5" t="n">
        <v>36</v>
      </c>
      <c r="B7" s="5" t="n">
        <v>36</v>
      </c>
      <c r="C7" s="5" t="inlineStr">
        <is>
          <t>余志远</t>
        </is>
      </c>
      <c r="D7" s="5" t="n">
        <v>76</v>
      </c>
      <c r="E7" s="5" t="n">
        <v>55</v>
      </c>
      <c r="F7" s="5" t="n">
        <v>68</v>
      </c>
      <c r="G7" s="5" t="n">
        <v>67</v>
      </c>
      <c r="H7" s="5" t="n">
        <v>52</v>
      </c>
      <c r="I7" s="5">
        <f>SUM(D7:H7)</f>
        <v/>
      </c>
      <c r="J7" s="5" t="inlineStr">
        <is>
          <t>语文</t>
        </is>
      </c>
      <c r="K7" s="5" t="inlineStr">
        <is>
          <t>化学</t>
        </is>
      </c>
      <c r="L7" s="5" t="n">
        <v>24</v>
      </c>
      <c r="M7" s="5" t="inlineStr">
        <is>
          <t>均衡发展</t>
        </is>
      </c>
    </row>
    <row r="8">
      <c r="A8" s="5" t="n">
        <v>37</v>
      </c>
      <c r="B8" s="5" t="n">
        <v>27</v>
      </c>
      <c r="C8" s="5" t="inlineStr">
        <is>
          <t>邓欣妍</t>
        </is>
      </c>
      <c r="D8" s="5" t="n">
        <v>84</v>
      </c>
      <c r="E8" s="5" t="n">
        <v>57</v>
      </c>
      <c r="F8" s="5" t="n">
        <v>66</v>
      </c>
      <c r="G8" s="5" t="n">
        <v>48</v>
      </c>
      <c r="H8" s="5" t="n">
        <v>57</v>
      </c>
      <c r="I8" s="5">
        <f>SUM(D8:H8)</f>
        <v/>
      </c>
      <c r="J8" s="5" t="inlineStr">
        <is>
          <t>语文</t>
        </is>
      </c>
      <c r="K8" s="5" t="inlineStr">
        <is>
          <t>物理</t>
        </is>
      </c>
      <c r="L8" s="5" t="n">
        <v>36</v>
      </c>
      <c r="M8" s="5" t="inlineStr">
        <is>
          <t>物理偏弱</t>
        </is>
      </c>
    </row>
    <row r="9">
      <c r="A9" s="5" t="n">
        <v>38</v>
      </c>
      <c r="B9" s="5" t="n">
        <v>31</v>
      </c>
      <c r="C9" s="5" t="inlineStr">
        <is>
          <t>董思雨</t>
        </is>
      </c>
      <c r="D9" s="5" t="n">
        <v>58</v>
      </c>
      <c r="E9" s="5" t="n">
        <v>55</v>
      </c>
      <c r="F9" s="5" t="n">
        <v>59</v>
      </c>
      <c r="G9" s="5" t="n">
        <v>80</v>
      </c>
      <c r="H9" s="5" t="n">
        <v>52</v>
      </c>
      <c r="I9" s="5">
        <f>SUM(D9:H9)</f>
        <v/>
      </c>
      <c r="J9" s="5" t="inlineStr">
        <is>
          <t>物理</t>
        </is>
      </c>
      <c r="K9" s="5" t="inlineStr">
        <is>
          <t>化学</t>
        </is>
      </c>
      <c r="L9" s="5" t="n">
        <v>28</v>
      </c>
      <c r="M9" s="5" t="inlineStr">
        <is>
          <t>均衡发展</t>
        </is>
      </c>
    </row>
    <row r="10">
      <c r="A10" s="5" t="n">
        <v>39</v>
      </c>
      <c r="B10" s="5" t="n">
        <v>10</v>
      </c>
      <c r="C10" s="5" t="inlineStr">
        <is>
          <t>吴俊杰</t>
        </is>
      </c>
      <c r="D10" s="5" t="n">
        <v>76</v>
      </c>
      <c r="E10" s="5" t="n">
        <v>54</v>
      </c>
      <c r="F10" s="5" t="n">
        <v>55</v>
      </c>
      <c r="G10" s="5" t="n">
        <v>64</v>
      </c>
      <c r="H10" s="5" t="n">
        <v>48</v>
      </c>
      <c r="I10" s="5">
        <f>SUM(D10:H10)</f>
        <v/>
      </c>
      <c r="J10" s="5" t="inlineStr">
        <is>
          <t>语文</t>
        </is>
      </c>
      <c r="K10" s="5" t="inlineStr">
        <is>
          <t>化学</t>
        </is>
      </c>
      <c r="L10" s="5" t="n">
        <v>28</v>
      </c>
      <c r="M10" s="5" t="inlineStr">
        <is>
          <t>均衡发展</t>
        </is>
      </c>
    </row>
    <row r="11">
      <c r="A11" s="5" t="n">
        <v>40</v>
      </c>
      <c r="B11" s="5" t="n">
        <v>4</v>
      </c>
      <c r="C11" s="5" t="inlineStr">
        <is>
          <t>陈嘉怡</t>
        </is>
      </c>
      <c r="D11" s="5" t="n">
        <v>82</v>
      </c>
      <c r="E11" s="5" t="n">
        <v>50</v>
      </c>
      <c r="F11" s="5" t="n">
        <v>51</v>
      </c>
      <c r="G11" s="5" t="n">
        <v>45</v>
      </c>
      <c r="H11" s="5" t="n">
        <v>55</v>
      </c>
      <c r="I11" s="5">
        <f>SUM(D11:H11)</f>
        <v/>
      </c>
      <c r="J11" s="5" t="inlineStr">
        <is>
          <t>语文</t>
        </is>
      </c>
      <c r="K11" s="5" t="inlineStr">
        <is>
          <t>物理</t>
        </is>
      </c>
      <c r="L11" s="5" t="n">
        <v>37</v>
      </c>
      <c r="M11" s="5" t="inlineStr">
        <is>
          <t>物理偏弱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7" customWidth="1" min="9" max="9"/>
    <col width="8" customWidth="1" min="10" max="10"/>
    <col width="7" customWidth="1" min="11" max="11"/>
    <col width="9" customWidth="1" min="12" max="12"/>
    <col width="7" customWidth="1" min="13" max="13"/>
    <col width="6" customWidth="1" min="14" max="14"/>
  </cols>
  <sheetData>
    <row r="1">
      <c r="A1" s="4" t="inlineStr">
        <is>
          <t>序号</t>
        </is>
      </c>
      <c r="B1" s="4" t="inlineStr">
        <is>
          <t>学号</t>
        </is>
      </c>
      <c r="C1" s="4" t="inlineStr">
        <is>
          <t>姓名</t>
        </is>
      </c>
      <c r="D1" s="4" t="inlineStr">
        <is>
          <t>语文</t>
        </is>
      </c>
      <c r="E1" s="4" t="inlineStr">
        <is>
          <t>数学</t>
        </is>
      </c>
      <c r="F1" s="4" t="inlineStr">
        <is>
          <t>英语</t>
        </is>
      </c>
      <c r="G1" s="4" t="inlineStr">
        <is>
          <t>物理</t>
        </is>
      </c>
      <c r="H1" s="4" t="inlineStr">
        <is>
          <t>化学</t>
        </is>
      </c>
      <c r="I1" s="4" t="inlineStr">
        <is>
          <t>总分</t>
        </is>
      </c>
      <c r="J1" s="4" t="inlineStr">
        <is>
          <t>最高科</t>
        </is>
      </c>
      <c r="K1" s="4" t="inlineStr">
        <is>
          <t>最高分</t>
        </is>
      </c>
      <c r="L1" s="4" t="inlineStr">
        <is>
          <t>最低科</t>
        </is>
      </c>
      <c r="M1" s="4" t="inlineStr">
        <is>
          <t>最低分</t>
        </is>
      </c>
      <c r="N1" s="4" t="inlineStr">
        <is>
          <t>分差</t>
        </is>
      </c>
    </row>
    <row r="2">
      <c r="A2" s="5" t="n">
        <v>1</v>
      </c>
      <c r="B2" s="5" t="n">
        <v>32</v>
      </c>
      <c r="C2" s="5" t="inlineStr">
        <is>
          <t>袁博文</t>
        </is>
      </c>
      <c r="D2" s="5" t="n">
        <v>98</v>
      </c>
      <c r="E2" s="5" t="n">
        <v>75</v>
      </c>
      <c r="F2" s="5" t="n">
        <v>88</v>
      </c>
      <c r="G2" s="5" t="n">
        <v>44</v>
      </c>
      <c r="H2" s="5" t="n">
        <v>66</v>
      </c>
      <c r="I2" s="5" t="n">
        <v>371</v>
      </c>
      <c r="J2" s="5" t="inlineStr">
        <is>
          <t>语文</t>
        </is>
      </c>
      <c r="K2" s="5" t="n">
        <v>98</v>
      </c>
      <c r="L2" s="5" t="inlineStr">
        <is>
          <t>物理</t>
        </is>
      </c>
      <c r="M2" s="5" t="n">
        <v>44</v>
      </c>
      <c r="N2" s="5" t="n">
        <v>54</v>
      </c>
    </row>
    <row r="3">
      <c r="A3" s="5" t="n">
        <v>2</v>
      </c>
      <c r="B3" s="5" t="n">
        <v>3</v>
      </c>
      <c r="C3" s="5" t="inlineStr">
        <is>
          <t>王浩然</t>
        </is>
      </c>
      <c r="D3" s="5" t="n">
        <v>98</v>
      </c>
      <c r="E3" s="5" t="n">
        <v>95</v>
      </c>
      <c r="F3" s="5" t="n">
        <v>84</v>
      </c>
      <c r="G3" s="5" t="n">
        <v>45</v>
      </c>
      <c r="H3" s="5" t="n">
        <v>79</v>
      </c>
      <c r="I3" s="5" t="n">
        <v>401</v>
      </c>
      <c r="J3" s="5" t="inlineStr">
        <is>
          <t>语文</t>
        </is>
      </c>
      <c r="K3" s="5" t="n">
        <v>98</v>
      </c>
      <c r="L3" s="5" t="inlineStr">
        <is>
          <t>物理</t>
        </is>
      </c>
      <c r="M3" s="5" t="n">
        <v>45</v>
      </c>
      <c r="N3" s="5" t="n">
        <v>53</v>
      </c>
    </row>
    <row r="4">
      <c r="A4" s="5" t="n">
        <v>3</v>
      </c>
      <c r="B4" s="5" t="n">
        <v>37</v>
      </c>
      <c r="C4" s="5" t="inlineStr">
        <is>
          <t>杜思琪</t>
        </is>
      </c>
      <c r="D4" s="5" t="n">
        <v>84</v>
      </c>
      <c r="E4" s="5" t="n">
        <v>48</v>
      </c>
      <c r="F4" s="5" t="n">
        <v>96</v>
      </c>
      <c r="G4" s="5" t="n">
        <v>86</v>
      </c>
      <c r="H4" s="5" t="n">
        <v>58</v>
      </c>
      <c r="I4" s="5" t="n">
        <v>372</v>
      </c>
      <c r="J4" s="5" t="inlineStr">
        <is>
          <t>英语</t>
        </is>
      </c>
      <c r="K4" s="5" t="n">
        <v>96</v>
      </c>
      <c r="L4" s="5" t="inlineStr">
        <is>
          <t>数学</t>
        </is>
      </c>
      <c r="M4" s="5" t="n">
        <v>48</v>
      </c>
      <c r="N4" s="5" t="n">
        <v>48</v>
      </c>
    </row>
    <row r="5">
      <c r="A5" s="5" t="n">
        <v>4</v>
      </c>
      <c r="B5" s="5" t="n">
        <v>38</v>
      </c>
      <c r="C5" s="5" t="inlineStr">
        <is>
          <t>叶文昊</t>
        </is>
      </c>
      <c r="D5" s="5" t="n">
        <v>87</v>
      </c>
      <c r="E5" s="5" t="n">
        <v>96</v>
      </c>
      <c r="F5" s="5" t="n">
        <v>61</v>
      </c>
      <c r="G5" s="5" t="n">
        <v>72</v>
      </c>
      <c r="H5" s="5" t="n">
        <v>48</v>
      </c>
      <c r="I5" s="5" t="n">
        <v>364</v>
      </c>
      <c r="J5" s="5" t="inlineStr">
        <is>
          <t>数学</t>
        </is>
      </c>
      <c r="K5" s="5" t="n">
        <v>96</v>
      </c>
      <c r="L5" s="5" t="inlineStr">
        <is>
          <t>化学</t>
        </is>
      </c>
      <c r="M5" s="5" t="n">
        <v>48</v>
      </c>
      <c r="N5" s="5" t="n">
        <v>48</v>
      </c>
    </row>
    <row r="6">
      <c r="A6" s="5" t="n">
        <v>5</v>
      </c>
      <c r="B6" s="5" t="n">
        <v>19</v>
      </c>
      <c r="C6" s="5" t="inlineStr">
        <is>
          <t>高语嫣</t>
        </is>
      </c>
      <c r="D6" s="5" t="n">
        <v>72</v>
      </c>
      <c r="E6" s="5" t="n">
        <v>92</v>
      </c>
      <c r="F6" s="5" t="n">
        <v>93</v>
      </c>
      <c r="G6" s="5" t="n">
        <v>81</v>
      </c>
      <c r="H6" s="5" t="n">
        <v>46</v>
      </c>
      <c r="I6" s="5" t="n">
        <v>384</v>
      </c>
      <c r="J6" s="5" t="inlineStr">
        <is>
          <t>英语</t>
        </is>
      </c>
      <c r="K6" s="5" t="n">
        <v>93</v>
      </c>
      <c r="L6" s="5" t="inlineStr">
        <is>
          <t>化学</t>
        </is>
      </c>
      <c r="M6" s="5" t="n">
        <v>46</v>
      </c>
      <c r="N6" s="5" t="n">
        <v>47</v>
      </c>
    </row>
    <row r="7">
      <c r="A7" s="5" t="n">
        <v>6</v>
      </c>
      <c r="B7" s="5" t="n">
        <v>5</v>
      </c>
      <c r="C7" s="5" t="inlineStr">
        <is>
          <t>刘一凡</t>
        </is>
      </c>
      <c r="D7" s="5" t="n">
        <v>69</v>
      </c>
      <c r="E7" s="5" t="n">
        <v>80</v>
      </c>
      <c r="F7" s="5" t="n">
        <v>88</v>
      </c>
      <c r="G7" s="5" t="n">
        <v>41</v>
      </c>
      <c r="H7" s="5" t="n">
        <v>77</v>
      </c>
      <c r="I7" s="5" t="n">
        <v>355</v>
      </c>
      <c r="J7" s="5" t="inlineStr">
        <is>
          <t>英语</t>
        </is>
      </c>
      <c r="K7" s="5" t="n">
        <v>88</v>
      </c>
      <c r="L7" s="5" t="inlineStr">
        <is>
          <t>物理</t>
        </is>
      </c>
      <c r="M7" s="5" t="n">
        <v>41</v>
      </c>
      <c r="N7" s="5" t="n">
        <v>47</v>
      </c>
    </row>
    <row r="8">
      <c r="A8" s="5" t="n">
        <v>7</v>
      </c>
      <c r="B8" s="5" t="n">
        <v>16</v>
      </c>
      <c r="C8" s="5" t="inlineStr">
        <is>
          <t>郭子轩</t>
        </is>
      </c>
      <c r="D8" s="5" t="n">
        <v>73</v>
      </c>
      <c r="E8" s="5" t="n">
        <v>53</v>
      </c>
      <c r="F8" s="5" t="n">
        <v>64</v>
      </c>
      <c r="G8" s="5" t="n">
        <v>95</v>
      </c>
      <c r="H8" s="5" t="n">
        <v>48</v>
      </c>
      <c r="I8" s="5" t="n">
        <v>333</v>
      </c>
      <c r="J8" s="5" t="inlineStr">
        <is>
          <t>物理</t>
        </is>
      </c>
      <c r="K8" s="5" t="n">
        <v>95</v>
      </c>
      <c r="L8" s="5" t="inlineStr">
        <is>
          <t>化学</t>
        </is>
      </c>
      <c r="M8" s="5" t="n">
        <v>48</v>
      </c>
      <c r="N8" s="5" t="n">
        <v>47</v>
      </c>
    </row>
    <row r="9">
      <c r="A9" s="5" t="n">
        <v>8</v>
      </c>
      <c r="B9" s="5" t="n">
        <v>34</v>
      </c>
      <c r="C9" s="5" t="inlineStr">
        <is>
          <t>蒋天磊</t>
        </is>
      </c>
      <c r="D9" s="5" t="n">
        <v>90</v>
      </c>
      <c r="E9" s="5" t="n">
        <v>48</v>
      </c>
      <c r="F9" s="5" t="n">
        <v>93</v>
      </c>
      <c r="G9" s="5" t="n">
        <v>86</v>
      </c>
      <c r="H9" s="5" t="n">
        <v>49</v>
      </c>
      <c r="I9" s="5" t="n">
        <v>366</v>
      </c>
      <c r="J9" s="5" t="inlineStr">
        <is>
          <t>英语</t>
        </is>
      </c>
      <c r="K9" s="5" t="n">
        <v>93</v>
      </c>
      <c r="L9" s="5" t="inlineStr">
        <is>
          <t>数学</t>
        </is>
      </c>
      <c r="M9" s="5" t="n">
        <v>48</v>
      </c>
      <c r="N9" s="5" t="n">
        <v>45</v>
      </c>
    </row>
    <row r="10">
      <c r="A10" s="5" t="n">
        <v>9</v>
      </c>
      <c r="B10" s="5" t="n">
        <v>30</v>
      </c>
      <c r="C10" s="5" t="inlineStr">
        <is>
          <t>彭立轩</t>
        </is>
      </c>
      <c r="D10" s="5" t="n">
        <v>63</v>
      </c>
      <c r="E10" s="5" t="n">
        <v>80</v>
      </c>
      <c r="F10" s="5" t="n">
        <v>81</v>
      </c>
      <c r="G10" s="5" t="n">
        <v>45</v>
      </c>
      <c r="H10" s="5" t="n">
        <v>90</v>
      </c>
      <c r="I10" s="5" t="n">
        <v>359</v>
      </c>
      <c r="J10" s="5" t="inlineStr">
        <is>
          <t>化学</t>
        </is>
      </c>
      <c r="K10" s="5" t="n">
        <v>90</v>
      </c>
      <c r="L10" s="5" t="inlineStr">
        <is>
          <t>物理</t>
        </is>
      </c>
      <c r="M10" s="5" t="n">
        <v>45</v>
      </c>
      <c r="N10" s="5" t="n">
        <v>45</v>
      </c>
    </row>
    <row r="11">
      <c r="A11" s="5" t="n">
        <v>10</v>
      </c>
      <c r="B11" s="5" t="n">
        <v>12</v>
      </c>
      <c r="C11" s="5" t="inlineStr">
        <is>
          <t>孙博文</t>
        </is>
      </c>
      <c r="D11" s="5" t="n">
        <v>57</v>
      </c>
      <c r="E11" s="5" t="n">
        <v>94</v>
      </c>
      <c r="F11" s="5" t="n">
        <v>79</v>
      </c>
      <c r="G11" s="5" t="n">
        <v>74</v>
      </c>
      <c r="H11" s="5" t="n">
        <v>49</v>
      </c>
      <c r="I11" s="5" t="n">
        <v>353</v>
      </c>
      <c r="J11" s="5" t="inlineStr">
        <is>
          <t>数学</t>
        </is>
      </c>
      <c r="K11" s="5" t="n">
        <v>94</v>
      </c>
      <c r="L11" s="5" t="inlineStr">
        <is>
          <t>化学</t>
        </is>
      </c>
      <c r="M11" s="5" t="n">
        <v>49</v>
      </c>
      <c r="N11" s="5" t="n">
        <v>45</v>
      </c>
    </row>
    <row r="12">
      <c r="A12" s="5" t="n">
        <v>11</v>
      </c>
      <c r="B12" s="5" t="n">
        <v>23</v>
      </c>
      <c r="C12" s="5" t="inlineStr">
        <is>
          <t>谢婉婷</t>
        </is>
      </c>
      <c r="D12" s="5" t="n">
        <v>75</v>
      </c>
      <c r="E12" s="5" t="n">
        <v>97</v>
      </c>
      <c r="F12" s="5" t="n">
        <v>53</v>
      </c>
      <c r="G12" s="5" t="n">
        <v>54</v>
      </c>
      <c r="H12" s="5" t="n">
        <v>94</v>
      </c>
      <c r="I12" s="5" t="n">
        <v>373</v>
      </c>
      <c r="J12" s="5" t="inlineStr">
        <is>
          <t>数学</t>
        </is>
      </c>
      <c r="K12" s="5" t="n">
        <v>97</v>
      </c>
      <c r="L12" s="5" t="inlineStr">
        <is>
          <t>英语</t>
        </is>
      </c>
      <c r="M12" s="5" t="n">
        <v>53</v>
      </c>
      <c r="N12" s="5" t="n">
        <v>44</v>
      </c>
    </row>
    <row r="13">
      <c r="A13" s="5" t="n">
        <v>12</v>
      </c>
      <c r="B13" s="5" t="n">
        <v>1</v>
      </c>
      <c r="C13" s="5" t="inlineStr">
        <is>
          <t>陈小雅</t>
        </is>
      </c>
      <c r="D13" s="5" t="n">
        <v>95</v>
      </c>
      <c r="E13" s="5" t="n">
        <v>55</v>
      </c>
      <c r="F13" s="5" t="n">
        <v>51</v>
      </c>
      <c r="G13" s="5" t="n">
        <v>87</v>
      </c>
      <c r="H13" s="5" t="n">
        <v>59</v>
      </c>
      <c r="I13" s="5" t="n">
        <v>347</v>
      </c>
      <c r="J13" s="5" t="inlineStr">
        <is>
          <t>语文</t>
        </is>
      </c>
      <c r="K13" s="5" t="n">
        <v>95</v>
      </c>
      <c r="L13" s="5" t="inlineStr">
        <is>
          <t>英语</t>
        </is>
      </c>
      <c r="M13" s="5" t="n">
        <v>51</v>
      </c>
      <c r="N13" s="5" t="n">
        <v>44</v>
      </c>
    </row>
    <row r="14">
      <c r="A14" s="5" t="n">
        <v>13</v>
      </c>
      <c r="B14" s="5" t="n">
        <v>14</v>
      </c>
      <c r="C14" s="5" t="inlineStr">
        <is>
          <t>朱天宇</t>
        </is>
      </c>
      <c r="D14" s="5" t="n">
        <v>94</v>
      </c>
      <c r="E14" s="5" t="n">
        <v>71</v>
      </c>
      <c r="F14" s="5" t="n">
        <v>86</v>
      </c>
      <c r="G14" s="5" t="n">
        <v>52</v>
      </c>
      <c r="H14" s="5" t="n">
        <v>87</v>
      </c>
      <c r="I14" s="5" t="n">
        <v>390</v>
      </c>
      <c r="J14" s="5" t="inlineStr">
        <is>
          <t>语文</t>
        </is>
      </c>
      <c r="K14" s="5" t="n">
        <v>94</v>
      </c>
      <c r="L14" s="5" t="inlineStr">
        <is>
          <t>物理</t>
        </is>
      </c>
      <c r="M14" s="5" t="n">
        <v>52</v>
      </c>
      <c r="N14" s="5" t="n">
        <v>42</v>
      </c>
    </row>
    <row r="15">
      <c r="A15" s="5" t="n">
        <v>14</v>
      </c>
      <c r="B15" s="5" t="n">
        <v>24</v>
      </c>
      <c r="C15" s="5" t="inlineStr">
        <is>
          <t>宋宇航</t>
        </is>
      </c>
      <c r="D15" s="5" t="n">
        <v>57</v>
      </c>
      <c r="E15" s="5" t="n">
        <v>99</v>
      </c>
      <c r="F15" s="5" t="n">
        <v>70</v>
      </c>
      <c r="G15" s="5" t="n">
        <v>65</v>
      </c>
      <c r="H15" s="5" t="n">
        <v>59</v>
      </c>
      <c r="I15" s="5" t="n">
        <v>350</v>
      </c>
      <c r="J15" s="5" t="inlineStr">
        <is>
          <t>数学</t>
        </is>
      </c>
      <c r="K15" s="5" t="n">
        <v>99</v>
      </c>
      <c r="L15" s="5" t="inlineStr">
        <is>
          <t>语文</t>
        </is>
      </c>
      <c r="M15" s="5" t="n">
        <v>57</v>
      </c>
      <c r="N15" s="5" t="n">
        <v>42</v>
      </c>
    </row>
    <row r="16">
      <c r="A16" s="5" t="n">
        <v>15</v>
      </c>
      <c r="B16" s="5" t="n">
        <v>15</v>
      </c>
      <c r="C16" s="5" t="inlineStr">
        <is>
          <t>胡诗涵</t>
        </is>
      </c>
      <c r="D16" s="5" t="n">
        <v>59</v>
      </c>
      <c r="E16" s="5" t="n">
        <v>50</v>
      </c>
      <c r="F16" s="5" t="n">
        <v>92</v>
      </c>
      <c r="G16" s="5" t="n">
        <v>54</v>
      </c>
      <c r="H16" s="5" t="n">
        <v>91</v>
      </c>
      <c r="I16" s="5" t="n">
        <v>346</v>
      </c>
      <c r="J16" s="5" t="inlineStr">
        <is>
          <t>英语</t>
        </is>
      </c>
      <c r="K16" s="5" t="n">
        <v>92</v>
      </c>
      <c r="L16" s="5" t="inlineStr">
        <is>
          <t>数学</t>
        </is>
      </c>
      <c r="M16" s="5" t="n">
        <v>50</v>
      </c>
      <c r="N16" s="5" t="n">
        <v>42</v>
      </c>
    </row>
    <row r="17">
      <c r="A17" s="5" t="n">
        <v>16</v>
      </c>
      <c r="B17" s="5" t="n">
        <v>22</v>
      </c>
      <c r="C17" s="5" t="inlineStr">
        <is>
          <t>梁家豪</t>
        </is>
      </c>
      <c r="D17" s="5" t="n">
        <v>95</v>
      </c>
      <c r="E17" s="5" t="n">
        <v>92</v>
      </c>
      <c r="F17" s="5" t="n">
        <v>85</v>
      </c>
      <c r="G17" s="5" t="n">
        <v>54</v>
      </c>
      <c r="H17" s="5" t="n">
        <v>85</v>
      </c>
      <c r="I17" s="5" t="n">
        <v>411</v>
      </c>
      <c r="J17" s="5" t="inlineStr">
        <is>
          <t>语文</t>
        </is>
      </c>
      <c r="K17" s="5" t="n">
        <v>95</v>
      </c>
      <c r="L17" s="5" t="inlineStr">
        <is>
          <t>物理</t>
        </is>
      </c>
      <c r="M17" s="5" t="n">
        <v>54</v>
      </c>
      <c r="N17" s="5" t="n">
        <v>41</v>
      </c>
    </row>
    <row r="18">
      <c r="A18" s="5" t="n">
        <v>17</v>
      </c>
      <c r="B18" s="5" t="n">
        <v>8</v>
      </c>
      <c r="C18" s="5" t="inlineStr">
        <is>
          <t>黄子豪</t>
        </is>
      </c>
      <c r="D18" s="5" t="n">
        <v>55</v>
      </c>
      <c r="E18" s="5" t="n">
        <v>96</v>
      </c>
      <c r="F18" s="5" t="n">
        <v>60</v>
      </c>
      <c r="G18" s="5" t="n">
        <v>84</v>
      </c>
      <c r="H18" s="5" t="n">
        <v>69</v>
      </c>
      <c r="I18" s="5" t="n">
        <v>364</v>
      </c>
      <c r="J18" s="5" t="inlineStr">
        <is>
          <t>数学</t>
        </is>
      </c>
      <c r="K18" s="5" t="n">
        <v>96</v>
      </c>
      <c r="L18" s="5" t="inlineStr">
        <is>
          <t>语文</t>
        </is>
      </c>
      <c r="M18" s="5" t="n">
        <v>55</v>
      </c>
      <c r="N18" s="5" t="n">
        <v>41</v>
      </c>
    </row>
    <row r="19">
      <c r="A19" s="5" t="n">
        <v>18</v>
      </c>
      <c r="B19" s="5" t="n">
        <v>2</v>
      </c>
      <c r="C19" s="5" t="inlineStr">
        <is>
          <t>李思远</t>
        </is>
      </c>
      <c r="D19" s="5" t="n">
        <v>70</v>
      </c>
      <c r="E19" s="5" t="n">
        <v>62</v>
      </c>
      <c r="F19" s="5" t="n">
        <v>58</v>
      </c>
      <c r="G19" s="5" t="n">
        <v>87</v>
      </c>
      <c r="H19" s="5" t="n">
        <v>48</v>
      </c>
      <c r="I19" s="5" t="n">
        <v>325</v>
      </c>
      <c r="J19" s="5" t="inlineStr">
        <is>
          <t>物理</t>
        </is>
      </c>
      <c r="K19" s="5" t="n">
        <v>87</v>
      </c>
      <c r="L19" s="5" t="inlineStr">
        <is>
          <t>化学</t>
        </is>
      </c>
      <c r="M19" s="5" t="n">
        <v>48</v>
      </c>
      <c r="N19" s="5" t="n">
        <v>39</v>
      </c>
    </row>
    <row r="20">
      <c r="A20" s="5" t="n">
        <v>19</v>
      </c>
      <c r="B20" s="5" t="n">
        <v>11</v>
      </c>
      <c r="C20" s="5" t="inlineStr">
        <is>
          <t>徐若曦</t>
        </is>
      </c>
      <c r="D20" s="5" t="n">
        <v>77</v>
      </c>
      <c r="E20" s="5" t="n">
        <v>70</v>
      </c>
      <c r="F20" s="5" t="n">
        <v>88</v>
      </c>
      <c r="G20" s="5" t="n">
        <v>56</v>
      </c>
      <c r="H20" s="5" t="n">
        <v>93</v>
      </c>
      <c r="I20" s="5" t="n">
        <v>384</v>
      </c>
      <c r="J20" s="5" t="inlineStr">
        <is>
          <t>化学</t>
        </is>
      </c>
      <c r="K20" s="5" t="n">
        <v>93</v>
      </c>
      <c r="L20" s="5" t="inlineStr">
        <is>
          <t>物理</t>
        </is>
      </c>
      <c r="M20" s="5" t="n">
        <v>56</v>
      </c>
      <c r="N20" s="5" t="n">
        <v>37</v>
      </c>
    </row>
    <row r="21">
      <c r="A21" s="5" t="n">
        <v>20</v>
      </c>
      <c r="B21" s="5" t="n">
        <v>9</v>
      </c>
      <c r="C21" s="5" t="inlineStr">
        <is>
          <t>周梦琪</t>
        </is>
      </c>
      <c r="D21" s="5" t="n">
        <v>76</v>
      </c>
      <c r="E21" s="5" t="n">
        <v>65</v>
      </c>
      <c r="F21" s="5" t="n">
        <v>59</v>
      </c>
      <c r="G21" s="5" t="n">
        <v>53</v>
      </c>
      <c r="H21" s="5" t="n">
        <v>90</v>
      </c>
      <c r="I21" s="5" t="n">
        <v>343</v>
      </c>
      <c r="J21" s="5" t="inlineStr">
        <is>
          <t>化学</t>
        </is>
      </c>
      <c r="K21" s="5" t="n">
        <v>90</v>
      </c>
      <c r="L21" s="5" t="inlineStr">
        <is>
          <t>物理</t>
        </is>
      </c>
      <c r="M21" s="5" t="n">
        <v>53</v>
      </c>
      <c r="N21" s="5" t="n">
        <v>37</v>
      </c>
    </row>
    <row r="22">
      <c r="A22" s="5" t="n">
        <v>21</v>
      </c>
      <c r="B22" s="5" t="n">
        <v>4</v>
      </c>
      <c r="C22" s="5" t="inlineStr">
        <is>
          <t>陈嘉怡</t>
        </is>
      </c>
      <c r="D22" s="5" t="n">
        <v>82</v>
      </c>
      <c r="E22" s="5" t="n">
        <v>50</v>
      </c>
      <c r="F22" s="5" t="n">
        <v>51</v>
      </c>
      <c r="G22" s="5" t="n">
        <v>45</v>
      </c>
      <c r="H22" s="5" t="n">
        <v>55</v>
      </c>
      <c r="I22" s="5" t="n">
        <v>283</v>
      </c>
      <c r="J22" s="5" t="inlineStr">
        <is>
          <t>语文</t>
        </is>
      </c>
      <c r="K22" s="5" t="n">
        <v>82</v>
      </c>
      <c r="L22" s="5" t="inlineStr">
        <is>
          <t>物理</t>
        </is>
      </c>
      <c r="M22" s="5" t="n">
        <v>45</v>
      </c>
      <c r="N22" s="5" t="n">
        <v>37</v>
      </c>
    </row>
    <row r="23">
      <c r="A23" s="5" t="n">
        <v>22</v>
      </c>
      <c r="B23" s="5" t="n">
        <v>40</v>
      </c>
      <c r="C23" s="5" t="inlineStr">
        <is>
          <t>熊家俊</t>
        </is>
      </c>
      <c r="D23" s="5" t="n">
        <v>67</v>
      </c>
      <c r="E23" s="5" t="n">
        <v>57</v>
      </c>
      <c r="F23" s="5" t="n">
        <v>73</v>
      </c>
      <c r="G23" s="5" t="n">
        <v>88</v>
      </c>
      <c r="H23" s="5" t="n">
        <v>52</v>
      </c>
      <c r="I23" s="5" t="n">
        <v>337</v>
      </c>
      <c r="J23" s="5" t="inlineStr">
        <is>
          <t>物理</t>
        </is>
      </c>
      <c r="K23" s="5" t="n">
        <v>88</v>
      </c>
      <c r="L23" s="5" t="inlineStr">
        <is>
          <t>化学</t>
        </is>
      </c>
      <c r="M23" s="5" t="n">
        <v>52</v>
      </c>
      <c r="N23" s="5" t="n">
        <v>36</v>
      </c>
    </row>
    <row r="24">
      <c r="A24" s="5" t="n">
        <v>23</v>
      </c>
      <c r="B24" s="5" t="n">
        <v>27</v>
      </c>
      <c r="C24" s="5" t="inlineStr">
        <is>
          <t>邓欣妍</t>
        </is>
      </c>
      <c r="D24" s="5" t="n">
        <v>84</v>
      </c>
      <c r="E24" s="5" t="n">
        <v>57</v>
      </c>
      <c r="F24" s="5" t="n">
        <v>66</v>
      </c>
      <c r="G24" s="5" t="n">
        <v>48</v>
      </c>
      <c r="H24" s="5" t="n">
        <v>57</v>
      </c>
      <c r="I24" s="5" t="n">
        <v>312</v>
      </c>
      <c r="J24" s="5" t="inlineStr">
        <is>
          <t>语文</t>
        </is>
      </c>
      <c r="K24" s="5" t="n">
        <v>84</v>
      </c>
      <c r="L24" s="5" t="inlineStr">
        <is>
          <t>物理</t>
        </is>
      </c>
      <c r="M24" s="5" t="n">
        <v>48</v>
      </c>
      <c r="N24" s="5" t="n">
        <v>36</v>
      </c>
    </row>
    <row r="25">
      <c r="A25" s="5" t="n">
        <v>24</v>
      </c>
      <c r="B25" s="5" t="n">
        <v>20</v>
      </c>
      <c r="C25" s="5" t="inlineStr">
        <is>
          <t>罗志强</t>
        </is>
      </c>
      <c r="D25" s="5" t="n">
        <v>93</v>
      </c>
      <c r="E25" s="5" t="n">
        <v>88</v>
      </c>
      <c r="F25" s="5" t="n">
        <v>60</v>
      </c>
      <c r="G25" s="5" t="n">
        <v>74</v>
      </c>
      <c r="H25" s="5" t="n">
        <v>88</v>
      </c>
      <c r="I25" s="5" t="n">
        <v>403</v>
      </c>
      <c r="J25" s="5" t="inlineStr">
        <is>
          <t>语文</t>
        </is>
      </c>
      <c r="K25" s="5" t="n">
        <v>93</v>
      </c>
      <c r="L25" s="5" t="inlineStr">
        <is>
          <t>英语</t>
        </is>
      </c>
      <c r="M25" s="5" t="n">
        <v>60</v>
      </c>
      <c r="N25" s="5" t="n">
        <v>33</v>
      </c>
    </row>
    <row r="26">
      <c r="A26" s="5" t="n">
        <v>25</v>
      </c>
      <c r="B26" s="5" t="n">
        <v>13</v>
      </c>
      <c r="C26" s="5" t="inlineStr">
        <is>
          <t>马欣怡</t>
        </is>
      </c>
      <c r="D26" s="5" t="n">
        <v>79</v>
      </c>
      <c r="E26" s="5" t="n">
        <v>53</v>
      </c>
      <c r="F26" s="5" t="n">
        <v>85</v>
      </c>
      <c r="G26" s="5" t="n">
        <v>58</v>
      </c>
      <c r="H26" s="5" t="n">
        <v>82</v>
      </c>
      <c r="I26" s="5" t="n">
        <v>357</v>
      </c>
      <c r="J26" s="5" t="inlineStr">
        <is>
          <t>英语</t>
        </is>
      </c>
      <c r="K26" s="5" t="n">
        <v>85</v>
      </c>
      <c r="L26" s="5" t="inlineStr">
        <is>
          <t>数学</t>
        </is>
      </c>
      <c r="M26" s="5" t="n">
        <v>53</v>
      </c>
      <c r="N26" s="5" t="n">
        <v>32</v>
      </c>
    </row>
    <row r="27">
      <c r="A27" s="5" t="n">
        <v>26</v>
      </c>
      <c r="B27" s="5" t="n">
        <v>35</v>
      </c>
      <c r="C27" s="5" t="inlineStr">
        <is>
          <t>蔡梦洁</t>
        </is>
      </c>
      <c r="D27" s="5" t="n">
        <v>98</v>
      </c>
      <c r="E27" s="5" t="n">
        <v>82</v>
      </c>
      <c r="F27" s="5" t="n">
        <v>67</v>
      </c>
      <c r="G27" s="5" t="n">
        <v>89</v>
      </c>
      <c r="H27" s="5" t="n">
        <v>83</v>
      </c>
      <c r="I27" s="5" t="n">
        <v>419</v>
      </c>
      <c r="J27" s="5" t="inlineStr">
        <is>
          <t>语文</t>
        </is>
      </c>
      <c r="K27" s="5" t="n">
        <v>98</v>
      </c>
      <c r="L27" s="5" t="inlineStr">
        <is>
          <t>英语</t>
        </is>
      </c>
      <c r="M27" s="5" t="n">
        <v>67</v>
      </c>
      <c r="N27" s="5" t="n">
        <v>31</v>
      </c>
    </row>
    <row r="28">
      <c r="A28" s="5" t="n">
        <v>27</v>
      </c>
      <c r="B28" s="5" t="n">
        <v>18</v>
      </c>
      <c r="C28" s="5" t="inlineStr">
        <is>
          <t>何明哲</t>
        </is>
      </c>
      <c r="D28" s="5" t="n">
        <v>65</v>
      </c>
      <c r="E28" s="5" t="n">
        <v>71</v>
      </c>
      <c r="F28" s="5" t="n">
        <v>72</v>
      </c>
      <c r="G28" s="5" t="n">
        <v>53</v>
      </c>
      <c r="H28" s="5" t="n">
        <v>84</v>
      </c>
      <c r="I28" s="5" t="n">
        <v>345</v>
      </c>
      <c r="J28" s="5" t="inlineStr">
        <is>
          <t>化学</t>
        </is>
      </c>
      <c r="K28" s="5" t="n">
        <v>84</v>
      </c>
      <c r="L28" s="5" t="inlineStr">
        <is>
          <t>物理</t>
        </is>
      </c>
      <c r="M28" s="5" t="n">
        <v>53</v>
      </c>
      <c r="N28" s="5" t="n">
        <v>31</v>
      </c>
    </row>
    <row r="30">
      <c r="A30" s="11" t="inlineStr">
        <is>
          <t>判定口径：该生五科中最高分 − 最低分 &gt; 30 分。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7" customWidth="1" min="10" max="10"/>
  </cols>
  <sheetData>
    <row r="1">
      <c r="A1" s="1" t="inlineStr">
        <is>
          <t>关键数字核对（脚本独立复算，静态值）</t>
        </is>
      </c>
    </row>
    <row r="2">
      <c r="A2" s="11" t="inlineStr">
        <is>
          <t>用途：上报/发家长前核对。下方数字与「各科统计」页公式结果应完全一致。</t>
        </is>
      </c>
    </row>
    <row r="4">
      <c r="A4" s="4" t="inlineStr">
        <is>
          <t>科目</t>
        </is>
      </c>
      <c r="B4" s="4" t="inlineStr">
        <is>
          <t>平均分</t>
        </is>
      </c>
      <c r="C4" s="4" t="inlineStr">
        <is>
          <t>最高分</t>
        </is>
      </c>
      <c r="D4" s="4" t="inlineStr">
        <is>
          <t>最低分</t>
        </is>
      </c>
      <c r="E4" s="4" t="inlineStr">
        <is>
          <t>及格人数</t>
        </is>
      </c>
      <c r="F4" s="4" t="inlineStr">
        <is>
          <t>及格率</t>
        </is>
      </c>
      <c r="G4" s="4" t="inlineStr">
        <is>
          <t>优秀人数</t>
        </is>
      </c>
      <c r="H4" s="4" t="inlineStr">
        <is>
          <t>优秀率</t>
        </is>
      </c>
      <c r="I4" s="4" t="inlineStr">
        <is>
          <t>与全科均分差</t>
        </is>
      </c>
      <c r="J4" s="4" t="inlineStr">
        <is>
          <t>极差</t>
        </is>
      </c>
    </row>
    <row r="5">
      <c r="A5" s="5" t="inlineStr">
        <is>
          <t>语文</t>
        </is>
      </c>
      <c r="B5" s="6" t="n">
        <v>77.3</v>
      </c>
      <c r="C5" s="5" t="n">
        <v>98</v>
      </c>
      <c r="D5" s="5" t="n">
        <v>55</v>
      </c>
      <c r="E5" s="5" t="n">
        <v>34</v>
      </c>
      <c r="F5" s="7" t="n">
        <v>0.85</v>
      </c>
      <c r="G5" s="5" t="n">
        <v>11</v>
      </c>
      <c r="H5" s="7" t="n">
        <v>0.275</v>
      </c>
      <c r="I5" s="6" t="n">
        <v>5.2</v>
      </c>
      <c r="J5" s="5" t="n">
        <v>43</v>
      </c>
    </row>
    <row r="6">
      <c r="A6" s="5" t="inlineStr">
        <is>
          <t>数学</t>
        </is>
      </c>
      <c r="B6" s="6" t="n">
        <v>72.2</v>
      </c>
      <c r="C6" s="5" t="n">
        <v>99</v>
      </c>
      <c r="D6" s="5" t="n">
        <v>48</v>
      </c>
      <c r="E6" s="5" t="n">
        <v>27</v>
      </c>
      <c r="F6" s="7" t="n">
        <v>0.675</v>
      </c>
      <c r="G6" s="5" t="n">
        <v>13</v>
      </c>
      <c r="H6" s="7" t="n">
        <v>0.325</v>
      </c>
      <c r="I6" s="6" t="n">
        <v>0.1</v>
      </c>
      <c r="J6" s="5" t="n">
        <v>51</v>
      </c>
    </row>
    <row r="7">
      <c r="A7" s="5" t="inlineStr">
        <is>
          <t>英语</t>
        </is>
      </c>
      <c r="B7" s="6" t="n">
        <v>74.7</v>
      </c>
      <c r="C7" s="5" t="n">
        <v>96</v>
      </c>
      <c r="D7" s="5" t="n">
        <v>51</v>
      </c>
      <c r="E7" s="5" t="n">
        <v>33</v>
      </c>
      <c r="F7" s="7" t="n">
        <v>0.825</v>
      </c>
      <c r="G7" s="5" t="n">
        <v>13</v>
      </c>
      <c r="H7" s="7" t="n">
        <v>0.325</v>
      </c>
      <c r="I7" s="6" t="n">
        <v>2.6</v>
      </c>
      <c r="J7" s="5" t="n">
        <v>45</v>
      </c>
    </row>
    <row r="8">
      <c r="A8" s="5" t="inlineStr">
        <is>
          <t>物理</t>
        </is>
      </c>
      <c r="B8" s="6" t="n">
        <v>68.3</v>
      </c>
      <c r="C8" s="5" t="n">
        <v>95</v>
      </c>
      <c r="D8" s="5" t="n">
        <v>41</v>
      </c>
      <c r="E8" s="5" t="n">
        <v>26</v>
      </c>
      <c r="F8" s="7" t="n">
        <v>0.65</v>
      </c>
      <c r="G8" s="5" t="n">
        <v>9</v>
      </c>
      <c r="H8" s="7" t="n">
        <v>0.225</v>
      </c>
      <c r="I8" s="6" t="n">
        <v>-3.8</v>
      </c>
      <c r="J8" s="5" t="n">
        <v>54</v>
      </c>
    </row>
    <row r="9">
      <c r="A9" s="5" t="inlineStr">
        <is>
          <t>化学</t>
        </is>
      </c>
      <c r="B9" s="6" t="n">
        <v>67.90000000000001</v>
      </c>
      <c r="C9" s="5" t="n">
        <v>94</v>
      </c>
      <c r="D9" s="5" t="n">
        <v>46</v>
      </c>
      <c r="E9" s="5" t="n">
        <v>21</v>
      </c>
      <c r="F9" s="7" t="n">
        <v>0.525</v>
      </c>
      <c r="G9" s="5" t="n">
        <v>8</v>
      </c>
      <c r="H9" s="7" t="n">
        <v>0.2</v>
      </c>
      <c r="I9" s="6" t="n">
        <v>-4.2</v>
      </c>
      <c r="J9" s="5" t="n">
        <v>48</v>
      </c>
    </row>
    <row r="10">
      <c r="A10" s="8" t="inlineStr">
        <is>
          <t>总分</t>
        </is>
      </c>
      <c r="B10" s="9" t="n">
        <v>360.4</v>
      </c>
      <c r="C10" s="8" t="n">
        <v>419</v>
      </c>
      <c r="D10" s="8" t="n">
        <v>283</v>
      </c>
      <c r="E10" s="8" t="n"/>
      <c r="F10" s="8" t="n"/>
      <c r="G10" s="8" t="n"/>
      <c r="H10" s="8" t="n"/>
      <c r="I10" s="8" t="n"/>
      <c r="J10" s="8" t="n">
        <v>136</v>
      </c>
    </row>
    <row r="12">
      <c r="A12" s="2" t="inlineStr">
        <is>
          <t>全科均分（五科均分的平均）</t>
        </is>
      </c>
      <c r="B12" s="12" t="n">
        <v>72.09999999999999</v>
      </c>
    </row>
    <row r="13">
      <c r="A13" s="2" t="inlineStr">
        <is>
          <t>总分400分以上人数</t>
        </is>
      </c>
      <c r="B13" s="12" t="n">
        <v>7</v>
      </c>
    </row>
    <row r="14">
      <c r="A14" s="2" t="inlineStr">
        <is>
          <t>总分360分以上人数</t>
        </is>
      </c>
      <c r="B14" s="12" t="n">
        <v>20</v>
      </c>
    </row>
    <row r="15">
      <c r="A15" s="2" t="inlineStr">
        <is>
          <t>总分300分以下人数</t>
        </is>
      </c>
      <c r="B15" s="12" t="n">
        <v>2</v>
      </c>
    </row>
    <row r="16">
      <c r="A16" s="2" t="inlineStr">
        <is>
          <t>偏科生人数（最高−最低&gt;30）</t>
        </is>
      </c>
      <c r="B16" s="12" t="n">
        <v>27</v>
      </c>
    </row>
    <row r="17">
      <c r="A17" s="2" t="inlineStr">
        <is>
          <t>偏科生占比</t>
        </is>
      </c>
      <c r="B17" s="13" t="n">
        <v>0.675</v>
      </c>
    </row>
    <row r="18">
      <c r="A18" s="2" t="inlineStr">
        <is>
          <t>总分一致性检查：原表总分≠五科之和的条数</t>
        </is>
      </c>
      <c r="B18" s="12" t="n">
        <v>0</v>
      </c>
    </row>
  </sheetData>
  <mergeCells count="7">
    <mergeCell ref="A17"/>
    <mergeCell ref="A12"/>
    <mergeCell ref="A18"/>
    <mergeCell ref="A15"/>
    <mergeCell ref="A16"/>
    <mergeCell ref="A13"/>
    <mergeCell ref="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2026-10-12T17:42:44Z</dcterms:created>
  <dcterms:modified xmlns:dcterms="http://purl.org/dc/terms/" xmlns:xsi="http://www.w3.org/2001/XMLSchema-instance" xsi:type="dcterms:W3CDTF">2026-10-12T17:42:44Z</dcterms:modified>
</cp:coreProperties>
</file>