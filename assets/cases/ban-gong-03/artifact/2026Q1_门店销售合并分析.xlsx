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AREER\AI第二期\课程产品矩阵\AI沙龙-10月\横刀实战\进一步复刻_工程\复刻产出\办公\案例办公-03_多表合并报告\最终产物\"/>
    </mc:Choice>
  </mc:AlternateContent>
  <xr:revisionPtr revIDLastSave="0" documentId="13_ncr:1_{0BBCD6A5-A50A-49A2-9B30-BA4249C043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合并明细" sheetId="1" r:id="rId1"/>
    <sheet name="门店汇总" sheetId="2" r:id="rId2"/>
    <sheet name="月度汇总" sheetId="3" r:id="rId3"/>
    <sheet name="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B4" i="3"/>
  <c r="E4" i="3" s="1"/>
  <c r="C3" i="3"/>
  <c r="B3" i="3"/>
  <c r="C2" i="3"/>
  <c r="C5" i="3" s="1"/>
  <c r="B2" i="3"/>
  <c r="B5" i="3" s="1"/>
  <c r="F5" i="2"/>
  <c r="D5" i="2"/>
  <c r="C5" i="2"/>
  <c r="B5" i="2"/>
  <c r="E5" i="2" s="1"/>
  <c r="F4" i="2"/>
  <c r="D4" i="2"/>
  <c r="J4" i="2" s="1"/>
  <c r="C4" i="2"/>
  <c r="B4" i="2"/>
  <c r="F3" i="2"/>
  <c r="D3" i="2"/>
  <c r="C3" i="2"/>
  <c r="I3" i="2" s="1"/>
  <c r="B3" i="2"/>
  <c r="J3" i="2" s="1"/>
  <c r="F2" i="2"/>
  <c r="D2" i="2"/>
  <c r="C2" i="2"/>
  <c r="C6" i="2" s="1"/>
  <c r="B2" i="2"/>
  <c r="E2" i="2" s="1"/>
  <c r="D14" i="1"/>
  <c r="C14" i="1"/>
  <c r="E14" i="1" s="1"/>
  <c r="F6" i="2" l="1"/>
  <c r="D6" i="2"/>
  <c r="J5" i="2"/>
  <c r="I2" i="2"/>
  <c r="J2" i="2"/>
  <c r="E3" i="3"/>
  <c r="I4" i="2"/>
  <c r="H2" i="2"/>
  <c r="G2" i="2"/>
  <c r="I6" i="2"/>
  <c r="G5" i="2"/>
  <c r="H5" i="2"/>
  <c r="D5" i="3"/>
  <c r="E4" i="2"/>
  <c r="I5" i="2"/>
  <c r="D2" i="3"/>
  <c r="E3" i="2"/>
  <c r="B6" i="2"/>
  <c r="J6" i="2" s="1"/>
  <c r="D3" i="3"/>
  <c r="D4" i="3"/>
  <c r="H4" i="2" l="1"/>
  <c r="G4" i="2"/>
  <c r="H3" i="2"/>
  <c r="G3" i="2"/>
  <c r="E6" i="2"/>
  <c r="H6" i="2" l="1"/>
  <c r="G6" i="2"/>
</calcChain>
</file>

<file path=xl/sharedStrings.xml><?xml version="1.0" encoding="utf-8"?>
<sst xmlns="http://schemas.openxmlformats.org/spreadsheetml/2006/main" count="88" uniqueCount="48">
  <si>
    <t>门店</t>
  </si>
  <si>
    <t>月份</t>
  </si>
  <si>
    <t>销售额(元)</t>
  </si>
  <si>
    <t>订单数</t>
  </si>
  <si>
    <t>客单价(元)</t>
  </si>
  <si>
    <t>数据来源文件</t>
  </si>
  <si>
    <t>东莞松山湖店</t>
  </si>
  <si>
    <t>1月</t>
  </si>
  <si>
    <t>04_东莞松山湖店_2026Q1.xlsx</t>
  </si>
  <si>
    <t>2月</t>
  </si>
  <si>
    <t>3月</t>
  </si>
  <si>
    <t>广州天河店</t>
  </si>
  <si>
    <t>03_广州天河店_2026Q1.xlsx</t>
  </si>
  <si>
    <t>深圳南山科技园店</t>
  </si>
  <si>
    <t>02_南山科技园店_2026Q1.xlsx</t>
  </si>
  <si>
    <t>深圳福田旗舰店</t>
  </si>
  <si>
    <t>01_福田旗舰店_2026Q1.xlsx</t>
  </si>
  <si>
    <t>合计</t>
  </si>
  <si>
    <t>—</t>
  </si>
  <si>
    <t>4 个门店 / 12 条明细</t>
  </si>
  <si>
    <t>1月销售额</t>
  </si>
  <si>
    <t>2月销售额</t>
  </si>
  <si>
    <t>3月销售额</t>
  </si>
  <si>
    <t>Q1销售额</t>
  </si>
  <si>
    <t>Q1订单数</t>
  </si>
  <si>
    <t>综合客单价(元)</t>
  </si>
  <si>
    <t>销售额占比</t>
  </si>
  <si>
    <t>3月环比</t>
  </si>
  <si>
    <t>3月较1月</t>
  </si>
  <si>
    <t>环比</t>
  </si>
  <si>
    <t>Q1合计</t>
  </si>
  <si>
    <t>2026 Q1 门店销售合并分析 · 数据说明</t>
  </si>
  <si>
    <t>数据来源</t>
  </si>
  <si>
    <t>输入素材/ 下 4 个门店各自报送的 2026Q1 销售数据 xlsx（本案例演示取 4 个门店，真实场景为 12 个门店，处理逻辑完全相同）</t>
  </si>
  <si>
    <t>合并口径</t>
  </si>
  <si>
    <t>按“门店 + 月份”识别唯一记录，跨文件纵向合并；列按表头名称匹配，不依赖列位置</t>
  </si>
  <si>
    <t>已处理的差异</t>
  </si>
  <si>
    <t>① 福田店表头在第 2 行（第 1 行为标题行）；② 天河店列顺序不同且多一列“备注”；③ 松山湖店末尾带“合计”行，已剔除避免重复计算</t>
  </si>
  <si>
    <t>自洽校验</t>
  </si>
  <si>
    <t>每行均校验 销售额 = 订单数 × 客单价，误差 &gt; 0.01 元即报错（脚本 assert）</t>
  </si>
  <si>
    <t>客单价口径</t>
  </si>
  <si>
    <t>门店/整体“综合客单价”= Q1销售额 ÷ Q1订单数（加权）。不要用三个月客单价的简单平均，两者会不一致</t>
  </si>
  <si>
    <t>合计行</t>
  </si>
  <si>
    <t>合并明细合计、门店汇总全部指标、月度汇总分月值与环比，均为 Excel 公式（SUM/SUMIF/SUMIFS/ROUND），打开后自动重算；数值与【核对】一致，不硬编码</t>
  </si>
  <si>
    <t>关于备注列</t>
  </si>
  <si>
    <t>天河店源表多出的“备注”列不并入明细（避免污染表结构），但其中信息（如 2 月“春节闭店 4 天”）在写分析结论时作为背景参考，见报告第五章第 4 条</t>
  </si>
  <si>
    <t>生成脚本</t>
  </si>
  <si>
    <t>_脚本/merge_and_summary.py（可重复运行，输入不变结果不变）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</si>
</sst>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3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10" fontId="3" fillId="0" borderId="1" xfId="0" applyNumberFormat="1" applyFont="1" applyBorder="1" applyAlignment="1">
      <alignment horizontal="left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0" customWidth="1"/>
    <col min="2" max="2" width="9" customWidth="1"/>
    <col min="3" max="3" width="14" customWidth="1"/>
    <col min="4" max="4" width="11" customWidth="1"/>
    <col min="5" max="5" width="12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180600</v>
      </c>
      <c r="D2" s="3">
        <v>420</v>
      </c>
      <c r="E2" s="4">
        <v>430</v>
      </c>
      <c r="F2" s="5" t="s">
        <v>8</v>
      </c>
    </row>
    <row r="3" spans="1:6" x14ac:dyDescent="0.25">
      <c r="A3" s="2" t="s">
        <v>6</v>
      </c>
      <c r="B3" s="2" t="s">
        <v>9</v>
      </c>
      <c r="C3" s="3">
        <v>209150</v>
      </c>
      <c r="D3" s="3">
        <v>470</v>
      </c>
      <c r="E3" s="4">
        <v>445</v>
      </c>
      <c r="F3" s="5" t="s">
        <v>8</v>
      </c>
    </row>
    <row r="4" spans="1:6" x14ac:dyDescent="0.25">
      <c r="A4" s="2" t="s">
        <v>6</v>
      </c>
      <c r="B4" s="2" t="s">
        <v>10</v>
      </c>
      <c r="C4" s="3">
        <v>299520</v>
      </c>
      <c r="D4" s="3">
        <v>640</v>
      </c>
      <c r="E4" s="4">
        <v>468</v>
      </c>
      <c r="F4" s="5" t="s">
        <v>8</v>
      </c>
    </row>
    <row r="5" spans="1:6" x14ac:dyDescent="0.25">
      <c r="A5" s="2" t="s">
        <v>11</v>
      </c>
      <c r="B5" s="2" t="s">
        <v>7</v>
      </c>
      <c r="C5" s="3">
        <v>410400</v>
      </c>
      <c r="D5" s="3">
        <v>760</v>
      </c>
      <c r="E5" s="4">
        <v>540</v>
      </c>
      <c r="F5" s="5" t="s">
        <v>12</v>
      </c>
    </row>
    <row r="6" spans="1:6" x14ac:dyDescent="0.25">
      <c r="A6" s="2" t="s">
        <v>11</v>
      </c>
      <c r="B6" s="2" t="s">
        <v>9</v>
      </c>
      <c r="C6" s="3">
        <v>386400</v>
      </c>
      <c r="D6" s="3">
        <v>700</v>
      </c>
      <c r="E6" s="4">
        <v>552</v>
      </c>
      <c r="F6" s="5" t="s">
        <v>12</v>
      </c>
    </row>
    <row r="7" spans="1:6" x14ac:dyDescent="0.25">
      <c r="A7" s="2" t="s">
        <v>11</v>
      </c>
      <c r="B7" s="2" t="s">
        <v>10</v>
      </c>
      <c r="C7" s="3">
        <v>453600</v>
      </c>
      <c r="D7" s="3">
        <v>810</v>
      </c>
      <c r="E7" s="4">
        <v>560</v>
      </c>
      <c r="F7" s="5" t="s">
        <v>12</v>
      </c>
    </row>
    <row r="8" spans="1:6" x14ac:dyDescent="0.25">
      <c r="A8" s="2" t="s">
        <v>13</v>
      </c>
      <c r="B8" s="2" t="s">
        <v>7</v>
      </c>
      <c r="C8" s="3">
        <v>646800</v>
      </c>
      <c r="D8" s="3">
        <v>980</v>
      </c>
      <c r="E8" s="4">
        <v>660</v>
      </c>
      <c r="F8" s="5" t="s">
        <v>14</v>
      </c>
    </row>
    <row r="9" spans="1:6" x14ac:dyDescent="0.25">
      <c r="A9" s="2" t="s">
        <v>13</v>
      </c>
      <c r="B9" s="2" t="s">
        <v>9</v>
      </c>
      <c r="C9" s="3">
        <v>571200</v>
      </c>
      <c r="D9" s="3">
        <v>850</v>
      </c>
      <c r="E9" s="4">
        <v>672</v>
      </c>
      <c r="F9" s="5" t="s">
        <v>14</v>
      </c>
    </row>
    <row r="10" spans="1:6" x14ac:dyDescent="0.25">
      <c r="A10" s="2" t="s">
        <v>13</v>
      </c>
      <c r="B10" s="2" t="s">
        <v>10</v>
      </c>
      <c r="C10" s="3">
        <v>767200</v>
      </c>
      <c r="D10" s="3">
        <v>1120</v>
      </c>
      <c r="E10" s="4">
        <v>685</v>
      </c>
      <c r="F10" s="5" t="s">
        <v>14</v>
      </c>
    </row>
    <row r="11" spans="1:6" x14ac:dyDescent="0.25">
      <c r="A11" s="2" t="s">
        <v>15</v>
      </c>
      <c r="B11" s="2" t="s">
        <v>7</v>
      </c>
      <c r="C11" s="3">
        <v>864000</v>
      </c>
      <c r="D11" s="3">
        <v>1200</v>
      </c>
      <c r="E11" s="4">
        <v>720</v>
      </c>
      <c r="F11" s="5" t="s">
        <v>16</v>
      </c>
    </row>
    <row r="12" spans="1:6" x14ac:dyDescent="0.25">
      <c r="A12" s="2" t="s">
        <v>15</v>
      </c>
      <c r="B12" s="2" t="s">
        <v>9</v>
      </c>
      <c r="C12" s="3">
        <v>771750</v>
      </c>
      <c r="D12" s="3">
        <v>1050</v>
      </c>
      <c r="E12" s="4">
        <v>735</v>
      </c>
      <c r="F12" s="5" t="s">
        <v>16</v>
      </c>
    </row>
    <row r="13" spans="1:6" x14ac:dyDescent="0.25">
      <c r="A13" s="2" t="s">
        <v>15</v>
      </c>
      <c r="B13" s="2" t="s">
        <v>10</v>
      </c>
      <c r="C13" s="3">
        <v>814200</v>
      </c>
      <c r="D13" s="3">
        <v>1180</v>
      </c>
      <c r="E13" s="4">
        <v>690</v>
      </c>
      <c r="F13" s="5" t="s">
        <v>16</v>
      </c>
    </row>
    <row r="14" spans="1:6" x14ac:dyDescent="0.25">
      <c r="A14" s="6" t="s">
        <v>17</v>
      </c>
      <c r="B14" s="6" t="s">
        <v>18</v>
      </c>
      <c r="C14" s="7">
        <f>SUM(C2:C13)</f>
        <v>6374820</v>
      </c>
      <c r="D14" s="7">
        <f>SUM(D2:D13)</f>
        <v>10180</v>
      </c>
      <c r="E14" s="7">
        <f>ROUND(C14/D14,2)</f>
        <v>626.21</v>
      </c>
      <c r="F14" s="7" t="s">
        <v>19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0" customWidth="1"/>
    <col min="2" max="5" width="13" customWidth="1"/>
    <col min="6" max="6" width="11" customWidth="1"/>
    <col min="7" max="7" width="15" customWidth="1"/>
    <col min="8" max="8" width="12" customWidth="1"/>
    <col min="9" max="9" width="11" customWidth="1"/>
    <col min="10" max="10" width="12" customWidth="1"/>
  </cols>
  <sheetData>
    <row r="1" spans="1:10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s="2" t="s">
        <v>15</v>
      </c>
      <c r="B2" s="2">
        <f>SUMIFS(合并明细!$C$2:$C$13,合并明细!$A$2:$A$13,$A2,合并明细!$B$2:$B$13,"1月")</f>
        <v>864000</v>
      </c>
      <c r="C2" s="5">
        <f>SUMIFS(合并明细!$C$2:$C$13,合并明细!$A$2:$A$13,$A2,合并明细!$B$2:$B$13,"2月")</f>
        <v>771750</v>
      </c>
      <c r="D2" s="5">
        <f>SUMIFS(合并明细!$C$2:$C$13,合并明细!$A$2:$A$13,$A2,合并明细!$B$2:$B$13,"3月")</f>
        <v>814200</v>
      </c>
      <c r="E2" s="5">
        <f>B2+C2+D2</f>
        <v>2449950</v>
      </c>
      <c r="F2" s="5">
        <f>SUMIF(合并明细!$A$2:$A$13,$A2,合并明细!$D$2:$D$13)</f>
        <v>3430</v>
      </c>
      <c r="G2" s="5">
        <f>ROUND(E2/F2,2)</f>
        <v>714.27</v>
      </c>
      <c r="H2" s="5">
        <f>ROUND(E2/合并明细!$C$14,4)</f>
        <v>0.38429999999999997</v>
      </c>
      <c r="I2" s="8">
        <f>ROUND((D2-C2)/C2,4)</f>
        <v>5.5E-2</v>
      </c>
      <c r="J2" s="8">
        <f>ROUND((D2-B2)/B2,4)</f>
        <v>-5.7599999999999998E-2</v>
      </c>
    </row>
    <row r="3" spans="1:10" x14ac:dyDescent="0.25">
      <c r="A3" s="2" t="s">
        <v>13</v>
      </c>
      <c r="B3" s="2">
        <f>SUMIFS(合并明细!$C$2:$C$13,合并明细!$A$2:$A$13,$A3,合并明细!$B$2:$B$13,"1月")</f>
        <v>646800</v>
      </c>
      <c r="C3" s="5">
        <f>SUMIFS(合并明细!$C$2:$C$13,合并明细!$A$2:$A$13,$A3,合并明细!$B$2:$B$13,"2月")</f>
        <v>571200</v>
      </c>
      <c r="D3" s="5">
        <f>SUMIFS(合并明细!$C$2:$C$13,合并明细!$A$2:$A$13,$A3,合并明细!$B$2:$B$13,"3月")</f>
        <v>767200</v>
      </c>
      <c r="E3" s="5">
        <f>B3+C3+D3</f>
        <v>1985200</v>
      </c>
      <c r="F3" s="5">
        <f>SUMIF(合并明细!$A$2:$A$13,$A3,合并明细!$D$2:$D$13)</f>
        <v>2950</v>
      </c>
      <c r="G3" s="5">
        <f>ROUND(E3/F3,2)</f>
        <v>672.95</v>
      </c>
      <c r="H3" s="5">
        <f>ROUND(E3/合并明细!$C$14,4)</f>
        <v>0.31140000000000001</v>
      </c>
      <c r="I3" s="8">
        <f>ROUND((D3-C3)/C3,4)</f>
        <v>0.34310000000000002</v>
      </c>
      <c r="J3" s="8">
        <f>ROUND((D3-B3)/B3,4)</f>
        <v>0.18609999999999999</v>
      </c>
    </row>
    <row r="4" spans="1:10" x14ac:dyDescent="0.25">
      <c r="A4" s="2" t="s">
        <v>11</v>
      </c>
      <c r="B4" s="2">
        <f>SUMIFS(合并明细!$C$2:$C$13,合并明细!$A$2:$A$13,$A4,合并明细!$B$2:$B$13,"1月")</f>
        <v>410400</v>
      </c>
      <c r="C4" s="5">
        <f>SUMIFS(合并明细!$C$2:$C$13,合并明细!$A$2:$A$13,$A4,合并明细!$B$2:$B$13,"2月")</f>
        <v>386400</v>
      </c>
      <c r="D4" s="5">
        <f>SUMIFS(合并明细!$C$2:$C$13,合并明细!$A$2:$A$13,$A4,合并明细!$B$2:$B$13,"3月")</f>
        <v>453600</v>
      </c>
      <c r="E4" s="5">
        <f>B4+C4+D4</f>
        <v>1250400</v>
      </c>
      <c r="F4" s="5">
        <f>SUMIF(合并明细!$A$2:$A$13,$A4,合并明细!$D$2:$D$13)</f>
        <v>2270</v>
      </c>
      <c r="G4" s="5">
        <f>ROUND(E4/F4,2)</f>
        <v>550.84</v>
      </c>
      <c r="H4" s="5">
        <f>ROUND(E4/合并明细!$C$14,4)</f>
        <v>0.1961</v>
      </c>
      <c r="I4" s="8">
        <f>ROUND((D4-C4)/C4,4)</f>
        <v>0.1739</v>
      </c>
      <c r="J4" s="8">
        <f>ROUND((D4-B4)/B4,4)</f>
        <v>0.1053</v>
      </c>
    </row>
    <row r="5" spans="1:10" x14ac:dyDescent="0.25">
      <c r="A5" s="2" t="s">
        <v>6</v>
      </c>
      <c r="B5" s="2">
        <f>SUMIFS(合并明细!$C$2:$C$13,合并明细!$A$2:$A$13,$A5,合并明细!$B$2:$B$13,"1月")</f>
        <v>180600</v>
      </c>
      <c r="C5" s="5">
        <f>SUMIFS(合并明细!$C$2:$C$13,合并明细!$A$2:$A$13,$A5,合并明细!$B$2:$B$13,"2月")</f>
        <v>209150</v>
      </c>
      <c r="D5" s="5">
        <f>SUMIFS(合并明细!$C$2:$C$13,合并明细!$A$2:$A$13,$A5,合并明细!$B$2:$B$13,"3月")</f>
        <v>299520</v>
      </c>
      <c r="E5" s="5">
        <f>B5+C5+D5</f>
        <v>689270</v>
      </c>
      <c r="F5" s="5">
        <f>SUMIF(合并明细!$A$2:$A$13,$A5,合并明细!$D$2:$D$13)</f>
        <v>1530</v>
      </c>
      <c r="G5" s="5">
        <f>ROUND(E5/F5,2)</f>
        <v>450.5</v>
      </c>
      <c r="H5" s="5">
        <f>ROUND(E5/合并明细!$C$14,4)</f>
        <v>0.1081</v>
      </c>
      <c r="I5" s="8">
        <f>ROUND((D5-C5)/C5,4)</f>
        <v>0.43209999999999998</v>
      </c>
      <c r="J5" s="8">
        <f>ROUND((D5-B5)/B5,4)</f>
        <v>0.65849999999999997</v>
      </c>
    </row>
    <row r="6" spans="1:10" x14ac:dyDescent="0.25">
      <c r="A6" s="6" t="s">
        <v>17</v>
      </c>
      <c r="B6" s="6">
        <f>SUM(B2:B5)</f>
        <v>2101800</v>
      </c>
      <c r="C6" s="7">
        <f>SUM(C2:C5)</f>
        <v>1938500</v>
      </c>
      <c r="D6" s="7">
        <f>SUM(D2:D5)</f>
        <v>2334520</v>
      </c>
      <c r="E6" s="7">
        <f>SUM(E2:E5)</f>
        <v>6374820</v>
      </c>
      <c r="F6" s="7">
        <f>SUM(F2:F5)</f>
        <v>10180</v>
      </c>
      <c r="G6" s="7">
        <f>ROUND(E6/F6,2)</f>
        <v>626.21</v>
      </c>
      <c r="H6" s="7">
        <f>ROUND(E6/合并明细!$C$14,4)</f>
        <v>1</v>
      </c>
      <c r="I6" s="9">
        <f>ROUND((D6-C6)/C6,4)</f>
        <v>0.20430000000000001</v>
      </c>
      <c r="J6" s="9">
        <f>ROUND((D6-B6)/B6,4)</f>
        <v>0.11070000000000001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25"/>
  <cols>
    <col min="1" max="1" width="10" customWidth="1"/>
    <col min="2" max="2" width="14" customWidth="1"/>
    <col min="3" max="3" width="11" customWidth="1"/>
    <col min="4" max="4" width="13" customWidth="1"/>
    <col min="5" max="5" width="1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29</v>
      </c>
    </row>
    <row r="2" spans="1:5" x14ac:dyDescent="0.25">
      <c r="A2" s="2" t="s">
        <v>7</v>
      </c>
      <c r="B2" s="2">
        <f>SUMIF(合并明细!$B$2:$B$13,$A2,合并明细!$C$2:$C$13)</f>
        <v>2101800</v>
      </c>
      <c r="C2" s="5">
        <f>SUMIF(合并明细!$B$2:$B$13,$A2,合并明细!$D$2:$D$13)</f>
        <v>3360</v>
      </c>
      <c r="D2" s="5">
        <f>ROUND(B2/C2,2)</f>
        <v>625.54</v>
      </c>
      <c r="E2" s="5" t="s">
        <v>18</v>
      </c>
    </row>
    <row r="3" spans="1:5" x14ac:dyDescent="0.25">
      <c r="A3" s="2" t="s">
        <v>9</v>
      </c>
      <c r="B3" s="2">
        <f>SUMIF(合并明细!$B$2:$B$13,$A3,合并明细!$C$2:$C$13)</f>
        <v>1938500</v>
      </c>
      <c r="C3" s="5">
        <f>SUMIF(合并明细!$B$2:$B$13,$A3,合并明细!$D$2:$D$13)</f>
        <v>3070</v>
      </c>
      <c r="D3" s="5">
        <f>ROUND(B3/C3,2)</f>
        <v>631.42999999999995</v>
      </c>
      <c r="E3" s="5">
        <f>ROUND((B3-B2)/B2,4)</f>
        <v>-7.7700000000000005E-2</v>
      </c>
    </row>
    <row r="4" spans="1:5" x14ac:dyDescent="0.25">
      <c r="A4" s="2" t="s">
        <v>10</v>
      </c>
      <c r="B4" s="2">
        <f>SUMIF(合并明细!$B$2:$B$13,$A4,合并明细!$C$2:$C$13)</f>
        <v>2334520</v>
      </c>
      <c r="C4" s="5">
        <f>SUMIF(合并明细!$B$2:$B$13,$A4,合并明细!$D$2:$D$13)</f>
        <v>3750</v>
      </c>
      <c r="D4" s="5">
        <f>ROUND(B4/C4,2)</f>
        <v>622.54</v>
      </c>
      <c r="E4" s="5">
        <f>ROUND((B4-B3)/B3,4)</f>
        <v>0.20430000000000001</v>
      </c>
    </row>
    <row r="5" spans="1:5" x14ac:dyDescent="0.25">
      <c r="A5" s="6" t="s">
        <v>30</v>
      </c>
      <c r="B5" s="6">
        <f>SUM(B2:B4)</f>
        <v>6374820</v>
      </c>
      <c r="C5" s="7">
        <f>SUM(C2:C4)</f>
        <v>10180</v>
      </c>
      <c r="D5" s="7">
        <f>ROUND(B5/C5,2)</f>
        <v>626.21</v>
      </c>
      <c r="E5" s="7" t="s">
        <v>18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4" x14ac:dyDescent="0.25"/>
  <cols>
    <col min="1" max="1" width="16" customWidth="1"/>
    <col min="2" max="2" width="100" customWidth="1"/>
  </cols>
  <sheetData>
    <row r="1" spans="1:2" ht="16.8" x14ac:dyDescent="0.3">
      <c r="A1" s="10" t="s">
        <v>31</v>
      </c>
      <c r="B1" s="11"/>
    </row>
    <row r="2" spans="1:2" x14ac:dyDescent="0.25">
      <c r="A2" s="12"/>
      <c r="B2" s="11"/>
    </row>
    <row r="3" spans="1:2" ht="27.6" x14ac:dyDescent="0.25">
      <c r="A3" s="12" t="s">
        <v>32</v>
      </c>
      <c r="B3" s="11" t="s">
        <v>33</v>
      </c>
    </row>
    <row r="4" spans="1:2" x14ac:dyDescent="0.25">
      <c r="A4" s="12" t="s">
        <v>34</v>
      </c>
      <c r="B4" s="11" t="s">
        <v>35</v>
      </c>
    </row>
    <row r="5" spans="1:2" ht="27.6" x14ac:dyDescent="0.25">
      <c r="A5" s="12" t="s">
        <v>36</v>
      </c>
      <c r="B5" s="11" t="s">
        <v>37</v>
      </c>
    </row>
    <row r="6" spans="1:2" x14ac:dyDescent="0.25">
      <c r="A6" s="12" t="s">
        <v>38</v>
      </c>
      <c r="B6" s="11" t="s">
        <v>39</v>
      </c>
    </row>
    <row r="7" spans="1:2" x14ac:dyDescent="0.25">
      <c r="A7" s="12" t="s">
        <v>40</v>
      </c>
      <c r="B7" s="11" t="s">
        <v>41</v>
      </c>
    </row>
    <row r="8" spans="1:2" ht="27.6" x14ac:dyDescent="0.25">
      <c r="A8" s="12" t="s">
        <v>42</v>
      </c>
      <c r="B8" s="11" t="s">
        <v>43</v>
      </c>
    </row>
    <row r="9" spans="1:2" ht="27.6" x14ac:dyDescent="0.25">
      <c r="A9" s="12" t="s">
        <v>44</v>
      </c>
      <c r="B9" s="11" t="s">
        <v>45</v>
      </c>
    </row>
    <row r="10" spans="1:2" x14ac:dyDescent="0.25">
      <c r="A10" s="12" t="s">
        <v>46</v>
      </c>
      <c r="B10" s="11" t="s">
        <v>47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合并明细</vt:lpstr>
      <vt:lpstr>门店汇总</vt:lpstr>
      <vt:lpstr>月度汇总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Harry_Li</cp:lastModifiedBy>
  <dcterms:created xsi:type="dcterms:W3CDTF">2026-10-12T19:44:10Z</dcterms:created>
  <dcterms:modified xsi:type="dcterms:W3CDTF">2026-10-12T19:44:26Z</dcterms:modified>
</cp:coreProperties>
</file>