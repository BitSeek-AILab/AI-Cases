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成绩明细(按总分降序)" sheetId="2" state="visible" r:id="rId2"/>
    <sheet xmlns:r="http://schemas.openxmlformats.org/officeDocument/2006/relationships" name="各科平均分(柱状图)" sheetId="3" state="visible" r:id="rId3"/>
    <sheet xmlns:r="http://schemas.openxmlformats.org/officeDocument/2006/relationships" name="数据透视(分数段×科目)" sheetId="4" state="visible" r:id="rId4"/>
    <sheet xmlns:r="http://schemas.openxmlformats.org/officeDocument/2006/relationships" name="低于平均分(高亮)" sheetId="5" state="visible" r:id="rId5"/>
    <sheet xmlns:r="http://schemas.openxmlformats.org/officeDocument/2006/relationships" name="低于平均分人数" sheetId="6" state="visible" r:id="rId6"/>
    <sheet xmlns:r="http://schemas.openxmlformats.org/officeDocument/2006/relationships" name="关键数字核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微软雅黑"/>
      <b val="1"/>
      <color rgb="001F3864"/>
      <sz val="11"/>
    </font>
    <font>
      <name val="微软雅黑"/>
      <color rgb="0052514E"/>
      <sz val="10"/>
    </font>
    <font>
      <name val="微软雅黑"/>
      <color rgb="000B0B0B"/>
      <sz val="10"/>
    </font>
    <font>
      <name val="微软雅黑"/>
      <b val="1"/>
      <color rgb="001F3864"/>
      <sz val="14"/>
    </font>
    <font>
      <name val="微软雅黑"/>
      <b val="1"/>
      <color rgb="00FFFFFF"/>
      <sz val="10"/>
    </font>
    <font>
      <name val="微软雅黑"/>
      <b val="1"/>
      <color rgb="00D03B3B"/>
      <sz val="10"/>
    </font>
    <font>
      <name val="微软雅黑"/>
      <color rgb="0089878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BDDDD"/>
      </patternFill>
    </fill>
    <fill>
      <patternFill patternType="solid">
        <fgColor rgb="00FFF2B2"/>
      </patternFill>
    </fill>
  </fills>
  <borders count="2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各科平均分（满分 100 分）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'各科平均分(柱状图)'!B4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strRef>
              <f>'各科平均分(柱状图)'!$A$5:$A$9</f>
            </strRef>
          </cat>
          <val>
            <numRef>
              <f>'各科平均分(柱状图)'!$B$5:$B$9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语文 · 分数段分布（人数）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'数据透视(分数段×科目)'!B15</f>
            </strRef>
          </tx>
          <spPr>
            <a:solidFill xmlns:a="http://schemas.openxmlformats.org/drawingml/2006/main">
              <a:srgbClr val="0D366B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0D366B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6B6E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03B3B"/>
              </a:solidFill>
              <a:ln xmlns:a="http://schemas.openxmlformats.org/drawingml/2006/main">
                <a:noFill/>
                <a:prstDash val="solid"/>
              </a:ln>
            </spPr>
          </dPt>
          <cat>
            <strRef>
              <f>'数据透视(分数段×科目)'!$A$16:$A$19</f>
            </strRef>
          </cat>
          <val>
            <numRef>
              <f>'数据透视(分数段×科目)'!$B$16:$B$19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2"/>
          <min val="0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数学 · 分数段分布（人数）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'数据透视(分数段×科目)'!C15</f>
            </strRef>
          </tx>
          <spPr>
            <a:solidFill xmlns:a="http://schemas.openxmlformats.org/drawingml/2006/main">
              <a:srgbClr val="0D366B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0D366B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6B6E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03B3B"/>
              </a:solidFill>
              <a:ln xmlns:a="http://schemas.openxmlformats.org/drawingml/2006/main">
                <a:noFill/>
                <a:prstDash val="solid"/>
              </a:ln>
            </spPr>
          </dPt>
          <cat>
            <strRef>
              <f>'数据透视(分数段×科目)'!$A$16:$A$19</f>
            </strRef>
          </cat>
          <val>
            <numRef>
              <f>'数据透视(分数段×科目)'!$C$16:$C$19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7"/>
          <min val="0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英语 · 分数段分布（人数）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'数据透视(分数段×科目)'!D15</f>
            </strRef>
          </tx>
          <spPr>
            <a:solidFill xmlns:a="http://schemas.openxmlformats.org/drawingml/2006/main">
              <a:srgbClr val="0D366B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0D366B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6B6E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03B3B"/>
              </a:solidFill>
              <a:ln xmlns:a="http://schemas.openxmlformats.org/drawingml/2006/main">
                <a:noFill/>
                <a:prstDash val="solid"/>
              </a:ln>
            </spPr>
          </dPt>
          <cat>
            <strRef>
              <f>'数据透视(分数段×科目)'!$A$16:$A$19</f>
            </strRef>
          </cat>
          <val>
            <numRef>
              <f>'数据透视(分数段×科目)'!$D$16:$D$19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7"/>
          <min val="0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物理 · 分数段分布（人数）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'数据透视(分数段×科目)'!E15</f>
            </strRef>
          </tx>
          <spPr>
            <a:solidFill xmlns:a="http://schemas.openxmlformats.org/drawingml/2006/main">
              <a:srgbClr val="0D366B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0D366B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6B6E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03B3B"/>
              </a:solidFill>
              <a:ln xmlns:a="http://schemas.openxmlformats.org/drawingml/2006/main">
                <a:noFill/>
                <a:prstDash val="solid"/>
              </a:ln>
            </spPr>
          </dPt>
          <cat>
            <strRef>
              <f>'数据透视(分数段×科目)'!$A$16:$A$19</f>
            </strRef>
          </cat>
          <val>
            <numRef>
              <f>'数据透视(分数段×科目)'!$E$16:$E$19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8"/>
          <min val="0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化学 · 分数段分布（人数）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'数据透视(分数段×科目)'!F15</f>
            </strRef>
          </tx>
          <spPr>
            <a:solidFill xmlns:a="http://schemas.openxmlformats.org/drawingml/2006/main">
              <a:srgbClr val="0D366B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0D366B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6B6EF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03B3B"/>
              </a:solidFill>
              <a:ln xmlns:a="http://schemas.openxmlformats.org/drawingml/2006/main">
                <a:noFill/>
                <a:prstDash val="solid"/>
              </a:ln>
            </spPr>
          </dPt>
          <cat>
            <strRef>
              <f>'数据透视(分数段×科目)'!$A$16:$A$19</f>
            </strRef>
          </cat>
          <val>
            <numRef>
              <f>'数据透视(分数段×科目)'!$F$16:$F$19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25"/>
          <min val="0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每科低于平均分人数（共 40 人）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'低于平均分人数'!C4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strRef>
              <f>'低于平均分人数'!$A$5:$A$9</f>
            </strRef>
          </cat>
          <val>
            <numRef>
              <f>'低于平均分人数'!$C$5:$C$9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22</row>
      <rowOff>0</rowOff>
    </from>
    <ext cx="3456000" cy="237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22</row>
      <rowOff>0</rowOff>
    </from>
    <ext cx="3456000" cy="23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3456000" cy="237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42</row>
      <rowOff>0</rowOff>
    </from>
    <ext cx="3456000" cy="237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62</row>
      <rowOff>0</rowOff>
    </from>
    <ext cx="3456000" cy="237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《高一3班期中成绩》圈选即分析 · 结果表</t>
        </is>
      </c>
      <c r="B1" s="2" t="inlineStr"/>
    </row>
    <row r="2">
      <c r="A2" s="3" t="inlineStr"/>
      <c r="B2" s="2" t="inlineStr"/>
    </row>
    <row r="3">
      <c r="A3" s="4" t="inlineStr">
        <is>
          <t>生成方式</t>
        </is>
      </c>
      <c r="B3" s="2" t="inlineStr">
        <is>
          <t>对"高一3班期中成绩.xlsx"圈选整个数据区后，按手册指令执行："按总分从高到低排序，把不及格的标红，出一张各科平均分的柱状图。" + 进阶四件事（分数段分布图 / 平均分 / 低于平均分高亮 / 低于平均分人数）。</t>
        </is>
      </c>
    </row>
    <row r="4">
      <c r="A4" s="4" t="inlineStr">
        <is>
          <t>数据来源</t>
        </is>
      </c>
      <c r="B4" s="2" t="inlineStr">
        <is>
          <t>输入素材/高一3班期中成绩.xlsx（40 名学生 × 5 科）</t>
        </is>
      </c>
    </row>
    <row r="5">
      <c r="A5" s="3" t="inlineStr"/>
      <c r="B5" s="2" t="inlineStr"/>
    </row>
    <row r="6">
      <c r="A6" s="4" t="inlineStr">
        <is>
          <t>【口径 · 单位】</t>
        </is>
      </c>
      <c r="B6" s="2" t="inlineStr"/>
    </row>
    <row r="7">
      <c r="A7" s="4" t="inlineStr">
        <is>
          <t>各科满分</t>
        </is>
      </c>
      <c r="B7" s="2" t="inlineStr">
        <is>
          <t>100 分/科（语文、数学、英语、物理、化学）</t>
        </is>
      </c>
    </row>
    <row r="8">
      <c r="A8" s="4" t="inlineStr">
        <is>
          <t>总分满分</t>
        </is>
      </c>
      <c r="B8" s="2" t="inlineStr">
        <is>
          <t>500 分（5 科 × 100）</t>
        </is>
      </c>
    </row>
    <row r="9">
      <c r="A9" s="4" t="inlineStr">
        <is>
          <t>及格线</t>
        </is>
      </c>
      <c r="B9" s="2" t="inlineStr">
        <is>
          <t>单科 ≥ 60 分</t>
        </is>
      </c>
    </row>
    <row r="10">
      <c r="A10" s="4" t="inlineStr">
        <is>
          <t>优秀线</t>
        </is>
      </c>
      <c r="B10" s="2" t="inlineStr">
        <is>
          <t>单科 ≥ 85 分</t>
        </is>
      </c>
    </row>
    <row r="11">
      <c r="A11" s="4" t="inlineStr">
        <is>
          <t>排序规则</t>
        </is>
      </c>
      <c r="B11" s="2" t="inlineStr">
        <is>
          <t>总分降序；总分相同的按学号升序（保证名次唯一、可复核）</t>
        </is>
      </c>
    </row>
    <row r="12">
      <c r="A12" s="4" t="inlineStr">
        <is>
          <t>分数段划分</t>
        </is>
      </c>
      <c r="B12" s="2" t="inlineStr">
        <is>
          <t>优秀 ≥85 ｜ 良好 70—84 ｜ 及格 60—69 ｜ 不及格 &lt;60（与第05章一致）</t>
        </is>
      </c>
    </row>
    <row r="13">
      <c r="A13" s="4" t="inlineStr">
        <is>
          <t>"低于平均分"</t>
        </is>
      </c>
      <c r="B13" s="2" t="inlineStr">
        <is>
          <t>严格小于该科平均分。（本表用**未取整的精确均值**判定；因各科均值取整后与精确值同档，两种口径结果相同——见"关键数字核对"页）</t>
        </is>
      </c>
    </row>
    <row r="14">
      <c r="A14" s="3" t="inlineStr"/>
      <c r="B14" s="2" t="inlineStr"/>
    </row>
    <row r="15">
      <c r="A15" s="4" t="inlineStr">
        <is>
          <t>【配色 · 图例】</t>
        </is>
      </c>
      <c r="B15" s="2" t="inlineStr"/>
    </row>
    <row r="16">
      <c r="A16" s="4" t="inlineStr">
        <is>
          <t>不及格</t>
        </is>
      </c>
      <c r="B16" s="2" t="inlineStr">
        <is>
          <t>红色字 + 浅红底（对应指令"把不及格的标红"）</t>
        </is>
      </c>
    </row>
    <row r="17">
      <c r="A17" s="4" t="inlineStr">
        <is>
          <t>低于平均分</t>
        </is>
      </c>
      <c r="B17" s="2" t="inlineStr">
        <is>
          <t>浅黄底（对应进阶指令③"低于平均分的分数单元格改成高亮底色"）</t>
        </is>
      </c>
    </row>
    <row r="18">
      <c r="A18" s="4" t="inlineStr">
        <is>
          <t>柱状图-单序列</t>
        </is>
      </c>
      <c r="B18" s="2" t="inlineStr">
        <is>
          <t>蓝色（单序列"量"用单色；不使用双坐标轴）</t>
        </is>
      </c>
    </row>
    <row r="19">
      <c r="A19" s="4" t="inlineStr">
        <is>
          <t>分数段柱状图</t>
        </is>
      </c>
      <c r="B19" s="2" t="inlineStr">
        <is>
          <t>4 档序数色：不及格=红(警示) ｜ 及格=浅蓝 ｜ 良好=中蓝 ｜ 优秀=深蓝（由浅到深表示由低到高）</t>
        </is>
      </c>
    </row>
    <row r="20">
      <c r="A20" s="3" t="inlineStr"/>
      <c r="B20" s="2" t="inlineStr"/>
    </row>
    <row r="21">
      <c r="A21" s="4" t="inlineStr">
        <is>
          <t>【⚠ 自查提醒】</t>
        </is>
      </c>
      <c r="B21" s="2" t="inlineStr">
        <is>
          <t>手册原文："AI算数字、出图表可以，但结果要核一眼。媒体实测就出过AI改数据图表把单位搞错的例子。成绩要上报、要发家长，先自己过一遍。" → 本表所有数字已由脚本从源表独立复算，逐项列入"关键数字核对"页。</t>
        </is>
      </c>
    </row>
    <row r="22">
      <c r="A22" s="4" t="inlineStr">
        <is>
          <t>页签导航</t>
        </is>
      </c>
      <c r="B22" s="2" t="inlineStr">
        <is>
          <t>成绩明细(按总分降序) → 各科平均分(柱状图) → 数据透视(分数段×科目) → 低于平均分(高亮) → 低于平均分人数 → 关键数字核对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1" customWidth="1" min="10" max="10"/>
    <col width="60" customWidth="1" min="12" max="12"/>
  </cols>
  <sheetData>
    <row r="1">
      <c r="A1" s="5" t="inlineStr">
        <is>
          <t>排名</t>
        </is>
      </c>
      <c r="B1" s="5" t="inlineStr">
        <is>
          <t>学号</t>
        </is>
      </c>
      <c r="C1" s="5" t="inlineStr">
        <is>
          <t>姓名</t>
        </is>
      </c>
      <c r="D1" s="5" t="inlineStr">
        <is>
          <t>语文</t>
        </is>
      </c>
      <c r="E1" s="5" t="inlineStr">
        <is>
          <t>数学</t>
        </is>
      </c>
      <c r="F1" s="5" t="inlineStr">
        <is>
          <t>英语</t>
        </is>
      </c>
      <c r="G1" s="5" t="inlineStr">
        <is>
          <t>物理</t>
        </is>
      </c>
      <c r="H1" s="5" t="inlineStr">
        <is>
          <t>化学</t>
        </is>
      </c>
      <c r="I1" s="5" t="inlineStr">
        <is>
          <t>总分</t>
        </is>
      </c>
      <c r="J1" s="5" t="inlineStr">
        <is>
          <t>不及格科数</t>
        </is>
      </c>
      <c r="L1" s="6" t="inlineStr">
        <is>
          <t>↑ 红色=不及格单科（&lt;60）；共 59 个不及格单元格，涉及 33 名学生</t>
        </is>
      </c>
    </row>
    <row r="2">
      <c r="A2" s="7" t="n">
        <v>1</v>
      </c>
      <c r="B2" s="7" t="n">
        <v>35</v>
      </c>
      <c r="C2" s="7" t="inlineStr">
        <is>
          <t>蔡梦洁</t>
        </is>
      </c>
      <c r="D2" s="8" t="n">
        <v>98</v>
      </c>
      <c r="E2" s="8" t="n">
        <v>82</v>
      </c>
      <c r="F2" s="8" t="n">
        <v>67</v>
      </c>
      <c r="G2" s="8" t="n">
        <v>89</v>
      </c>
      <c r="H2" s="8" t="n">
        <v>83</v>
      </c>
      <c r="I2" s="8" t="n">
        <v>419</v>
      </c>
      <c r="J2" s="8" t="n">
        <v>0</v>
      </c>
    </row>
    <row r="3">
      <c r="A3" s="7" t="n">
        <v>2</v>
      </c>
      <c r="B3" s="7" t="n">
        <v>6</v>
      </c>
      <c r="C3" s="7" t="inlineStr">
        <is>
          <t>张梓萱</t>
        </is>
      </c>
      <c r="D3" s="8" t="n">
        <v>67</v>
      </c>
      <c r="E3" s="8" t="n">
        <v>93</v>
      </c>
      <c r="F3" s="8" t="n">
        <v>91</v>
      </c>
      <c r="G3" s="8" t="n">
        <v>84</v>
      </c>
      <c r="H3" s="8" t="n">
        <v>76</v>
      </c>
      <c r="I3" s="8" t="n">
        <v>411</v>
      </c>
      <c r="J3" s="8" t="n">
        <v>0</v>
      </c>
    </row>
    <row r="4">
      <c r="A4" s="7" t="n">
        <v>3</v>
      </c>
      <c r="B4" s="7" t="n">
        <v>22</v>
      </c>
      <c r="C4" s="7" t="inlineStr">
        <is>
          <t>梁家豪</t>
        </is>
      </c>
      <c r="D4" s="8" t="n">
        <v>95</v>
      </c>
      <c r="E4" s="8" t="n">
        <v>92</v>
      </c>
      <c r="F4" s="8" t="n">
        <v>85</v>
      </c>
      <c r="G4" s="9" t="n">
        <v>54</v>
      </c>
      <c r="H4" s="8" t="n">
        <v>85</v>
      </c>
      <c r="I4" s="8" t="n">
        <v>411</v>
      </c>
      <c r="J4" s="8" t="n">
        <v>1</v>
      </c>
    </row>
    <row r="5">
      <c r="A5" s="7" t="n">
        <v>4</v>
      </c>
      <c r="B5" s="7" t="n">
        <v>28</v>
      </c>
      <c r="C5" s="7" t="inlineStr">
        <is>
          <t>冯俊凯</t>
        </is>
      </c>
      <c r="D5" s="8" t="n">
        <v>90</v>
      </c>
      <c r="E5" s="8" t="n">
        <v>82</v>
      </c>
      <c r="F5" s="8" t="n">
        <v>66</v>
      </c>
      <c r="G5" s="8" t="n">
        <v>87</v>
      </c>
      <c r="H5" s="8" t="n">
        <v>79</v>
      </c>
      <c r="I5" s="8" t="n">
        <v>404</v>
      </c>
      <c r="J5" s="8" t="n">
        <v>0</v>
      </c>
    </row>
    <row r="6">
      <c r="A6" s="7" t="n">
        <v>5</v>
      </c>
      <c r="B6" s="7" t="n">
        <v>39</v>
      </c>
      <c r="C6" s="7" t="inlineStr">
        <is>
          <t>田欣怡</t>
        </is>
      </c>
      <c r="D6" s="8" t="n">
        <v>95</v>
      </c>
      <c r="E6" s="8" t="n">
        <v>67</v>
      </c>
      <c r="F6" s="8" t="n">
        <v>90</v>
      </c>
      <c r="G6" s="8" t="n">
        <v>72</v>
      </c>
      <c r="H6" s="8" t="n">
        <v>80</v>
      </c>
      <c r="I6" s="8" t="n">
        <v>404</v>
      </c>
      <c r="J6" s="8" t="n">
        <v>0</v>
      </c>
    </row>
    <row r="7">
      <c r="A7" s="7" t="n">
        <v>6</v>
      </c>
      <c r="B7" s="7" t="n">
        <v>20</v>
      </c>
      <c r="C7" s="7" t="inlineStr">
        <is>
          <t>罗志强</t>
        </is>
      </c>
      <c r="D7" s="8" t="n">
        <v>93</v>
      </c>
      <c r="E7" s="8" t="n">
        <v>88</v>
      </c>
      <c r="F7" s="8" t="n">
        <v>60</v>
      </c>
      <c r="G7" s="8" t="n">
        <v>74</v>
      </c>
      <c r="H7" s="8" t="n">
        <v>88</v>
      </c>
      <c r="I7" s="8" t="n">
        <v>403</v>
      </c>
      <c r="J7" s="8" t="n">
        <v>0</v>
      </c>
    </row>
    <row r="8">
      <c r="A8" s="7" t="n">
        <v>7</v>
      </c>
      <c r="B8" s="7" t="n">
        <v>3</v>
      </c>
      <c r="C8" s="7" t="inlineStr">
        <is>
          <t>王浩然</t>
        </is>
      </c>
      <c r="D8" s="8" t="n">
        <v>98</v>
      </c>
      <c r="E8" s="8" t="n">
        <v>95</v>
      </c>
      <c r="F8" s="8" t="n">
        <v>84</v>
      </c>
      <c r="G8" s="9" t="n">
        <v>45</v>
      </c>
      <c r="H8" s="8" t="n">
        <v>79</v>
      </c>
      <c r="I8" s="8" t="n">
        <v>401</v>
      </c>
      <c r="J8" s="8" t="n">
        <v>1</v>
      </c>
    </row>
    <row r="9">
      <c r="A9" s="7" t="n">
        <v>8</v>
      </c>
      <c r="B9" s="7" t="n">
        <v>14</v>
      </c>
      <c r="C9" s="7" t="inlineStr">
        <is>
          <t>朱天宇</t>
        </is>
      </c>
      <c r="D9" s="8" t="n">
        <v>94</v>
      </c>
      <c r="E9" s="8" t="n">
        <v>71</v>
      </c>
      <c r="F9" s="8" t="n">
        <v>86</v>
      </c>
      <c r="G9" s="9" t="n">
        <v>52</v>
      </c>
      <c r="H9" s="8" t="n">
        <v>87</v>
      </c>
      <c r="I9" s="8" t="n">
        <v>390</v>
      </c>
      <c r="J9" s="8" t="n">
        <v>1</v>
      </c>
    </row>
    <row r="10">
      <c r="A10" s="7" t="n">
        <v>9</v>
      </c>
      <c r="B10" s="7" t="n">
        <v>26</v>
      </c>
      <c r="C10" s="7" t="inlineStr">
        <is>
          <t>许文博</t>
        </is>
      </c>
      <c r="D10" s="8" t="n">
        <v>68</v>
      </c>
      <c r="E10" s="8" t="n">
        <v>89</v>
      </c>
      <c r="F10" s="8" t="n">
        <v>81</v>
      </c>
      <c r="G10" s="8" t="n">
        <v>65</v>
      </c>
      <c r="H10" s="8" t="n">
        <v>83</v>
      </c>
      <c r="I10" s="8" t="n">
        <v>386</v>
      </c>
      <c r="J10" s="8" t="n">
        <v>0</v>
      </c>
    </row>
    <row r="11">
      <c r="A11" s="7" t="n">
        <v>10</v>
      </c>
      <c r="B11" s="7" t="n">
        <v>11</v>
      </c>
      <c r="C11" s="7" t="inlineStr">
        <is>
          <t>徐若曦</t>
        </is>
      </c>
      <c r="D11" s="8" t="n">
        <v>77</v>
      </c>
      <c r="E11" s="8" t="n">
        <v>70</v>
      </c>
      <c r="F11" s="8" t="n">
        <v>88</v>
      </c>
      <c r="G11" s="9" t="n">
        <v>56</v>
      </c>
      <c r="H11" s="8" t="n">
        <v>93</v>
      </c>
      <c r="I11" s="8" t="n">
        <v>384</v>
      </c>
      <c r="J11" s="8" t="n">
        <v>1</v>
      </c>
    </row>
    <row r="12">
      <c r="A12" s="7" t="n">
        <v>11</v>
      </c>
      <c r="B12" s="7" t="n">
        <v>19</v>
      </c>
      <c r="C12" s="7" t="inlineStr">
        <is>
          <t>高语嫣</t>
        </is>
      </c>
      <c r="D12" s="8" t="n">
        <v>72</v>
      </c>
      <c r="E12" s="8" t="n">
        <v>92</v>
      </c>
      <c r="F12" s="8" t="n">
        <v>93</v>
      </c>
      <c r="G12" s="8" t="n">
        <v>81</v>
      </c>
      <c r="H12" s="9" t="n">
        <v>46</v>
      </c>
      <c r="I12" s="8" t="n">
        <v>384</v>
      </c>
      <c r="J12" s="8" t="n">
        <v>1</v>
      </c>
    </row>
    <row r="13">
      <c r="A13" s="7" t="n">
        <v>12</v>
      </c>
      <c r="B13" s="7" t="n">
        <v>33</v>
      </c>
      <c r="C13" s="7" t="inlineStr">
        <is>
          <t>潘雨欣</t>
        </is>
      </c>
      <c r="D13" s="8" t="n">
        <v>79</v>
      </c>
      <c r="E13" s="8" t="n">
        <v>86</v>
      </c>
      <c r="F13" s="8" t="n">
        <v>79</v>
      </c>
      <c r="G13" s="8" t="n">
        <v>73</v>
      </c>
      <c r="H13" s="9" t="n">
        <v>58</v>
      </c>
      <c r="I13" s="8" t="n">
        <v>375</v>
      </c>
      <c r="J13" s="8" t="n">
        <v>1</v>
      </c>
    </row>
    <row r="14">
      <c r="A14" s="7" t="n">
        <v>13</v>
      </c>
      <c r="B14" s="7" t="n">
        <v>23</v>
      </c>
      <c r="C14" s="7" t="inlineStr">
        <is>
          <t>谢婉婷</t>
        </is>
      </c>
      <c r="D14" s="8" t="n">
        <v>75</v>
      </c>
      <c r="E14" s="8" t="n">
        <v>97</v>
      </c>
      <c r="F14" s="9" t="n">
        <v>53</v>
      </c>
      <c r="G14" s="9" t="n">
        <v>54</v>
      </c>
      <c r="H14" s="8" t="n">
        <v>94</v>
      </c>
      <c r="I14" s="8" t="n">
        <v>373</v>
      </c>
      <c r="J14" s="8" t="n">
        <v>2</v>
      </c>
    </row>
    <row r="15">
      <c r="A15" s="7" t="n">
        <v>14</v>
      </c>
      <c r="B15" s="7" t="n">
        <v>37</v>
      </c>
      <c r="C15" s="7" t="inlineStr">
        <is>
          <t>杜思琪</t>
        </is>
      </c>
      <c r="D15" s="8" t="n">
        <v>84</v>
      </c>
      <c r="E15" s="9" t="n">
        <v>48</v>
      </c>
      <c r="F15" s="8" t="n">
        <v>96</v>
      </c>
      <c r="G15" s="8" t="n">
        <v>86</v>
      </c>
      <c r="H15" s="9" t="n">
        <v>58</v>
      </c>
      <c r="I15" s="8" t="n">
        <v>372</v>
      </c>
      <c r="J15" s="8" t="n">
        <v>2</v>
      </c>
    </row>
    <row r="16">
      <c r="A16" s="7" t="n">
        <v>15</v>
      </c>
      <c r="B16" s="7" t="n">
        <v>32</v>
      </c>
      <c r="C16" s="7" t="inlineStr">
        <is>
          <t>袁博文</t>
        </is>
      </c>
      <c r="D16" s="8" t="n">
        <v>98</v>
      </c>
      <c r="E16" s="8" t="n">
        <v>75</v>
      </c>
      <c r="F16" s="8" t="n">
        <v>88</v>
      </c>
      <c r="G16" s="9" t="n">
        <v>44</v>
      </c>
      <c r="H16" s="8" t="n">
        <v>66</v>
      </c>
      <c r="I16" s="8" t="n">
        <v>371</v>
      </c>
      <c r="J16" s="8" t="n">
        <v>1</v>
      </c>
    </row>
    <row r="17">
      <c r="A17" s="7" t="n">
        <v>16</v>
      </c>
      <c r="B17" s="7" t="n">
        <v>17</v>
      </c>
      <c r="C17" s="7" t="inlineStr">
        <is>
          <t>林静怡</t>
        </is>
      </c>
      <c r="D17" s="8" t="n">
        <v>79</v>
      </c>
      <c r="E17" s="8" t="n">
        <v>65</v>
      </c>
      <c r="F17" s="8" t="n">
        <v>79</v>
      </c>
      <c r="G17" s="8" t="n">
        <v>80</v>
      </c>
      <c r="H17" s="8" t="n">
        <v>65</v>
      </c>
      <c r="I17" s="8" t="n">
        <v>368</v>
      </c>
      <c r="J17" s="8" t="n">
        <v>0</v>
      </c>
    </row>
    <row r="18">
      <c r="A18" s="7" t="n">
        <v>17</v>
      </c>
      <c r="B18" s="7" t="n">
        <v>34</v>
      </c>
      <c r="C18" s="7" t="inlineStr">
        <is>
          <t>蒋天磊</t>
        </is>
      </c>
      <c r="D18" s="8" t="n">
        <v>90</v>
      </c>
      <c r="E18" s="9" t="n">
        <v>48</v>
      </c>
      <c r="F18" s="8" t="n">
        <v>93</v>
      </c>
      <c r="G18" s="8" t="n">
        <v>86</v>
      </c>
      <c r="H18" s="9" t="n">
        <v>49</v>
      </c>
      <c r="I18" s="8" t="n">
        <v>366</v>
      </c>
      <c r="J18" s="8" t="n">
        <v>2</v>
      </c>
    </row>
    <row r="19">
      <c r="A19" s="7" t="n">
        <v>18</v>
      </c>
      <c r="B19" s="7" t="n">
        <v>8</v>
      </c>
      <c r="C19" s="7" t="inlineStr">
        <is>
          <t>黄子豪</t>
        </is>
      </c>
      <c r="D19" s="9" t="n">
        <v>55</v>
      </c>
      <c r="E19" s="8" t="n">
        <v>96</v>
      </c>
      <c r="F19" s="8" t="n">
        <v>60</v>
      </c>
      <c r="G19" s="8" t="n">
        <v>84</v>
      </c>
      <c r="H19" s="8" t="n">
        <v>69</v>
      </c>
      <c r="I19" s="8" t="n">
        <v>364</v>
      </c>
      <c r="J19" s="8" t="n">
        <v>1</v>
      </c>
    </row>
    <row r="20">
      <c r="A20" s="7" t="n">
        <v>19</v>
      </c>
      <c r="B20" s="7" t="n">
        <v>38</v>
      </c>
      <c r="C20" s="7" t="inlineStr">
        <is>
          <t>叶文昊</t>
        </is>
      </c>
      <c r="D20" s="8" t="n">
        <v>87</v>
      </c>
      <c r="E20" s="8" t="n">
        <v>96</v>
      </c>
      <c r="F20" s="8" t="n">
        <v>61</v>
      </c>
      <c r="G20" s="8" t="n">
        <v>72</v>
      </c>
      <c r="H20" s="9" t="n">
        <v>48</v>
      </c>
      <c r="I20" s="8" t="n">
        <v>364</v>
      </c>
      <c r="J20" s="8" t="n">
        <v>1</v>
      </c>
    </row>
    <row r="21">
      <c r="A21" s="7" t="n">
        <v>20</v>
      </c>
      <c r="B21" s="7" t="n">
        <v>29</v>
      </c>
      <c r="C21" s="7" t="inlineStr">
        <is>
          <t>曹雪莹</t>
        </is>
      </c>
      <c r="D21" s="8" t="n">
        <v>82</v>
      </c>
      <c r="E21" s="8" t="n">
        <v>85</v>
      </c>
      <c r="F21" s="8" t="n">
        <v>75</v>
      </c>
      <c r="G21" s="8" t="n">
        <v>63</v>
      </c>
      <c r="H21" s="9" t="n">
        <v>56</v>
      </c>
      <c r="I21" s="8" t="n">
        <v>361</v>
      </c>
      <c r="J21" s="8" t="n">
        <v>1</v>
      </c>
    </row>
    <row r="22">
      <c r="A22" s="7" t="n">
        <v>21</v>
      </c>
      <c r="B22" s="7" t="n">
        <v>30</v>
      </c>
      <c r="C22" s="7" t="inlineStr">
        <is>
          <t>彭立轩</t>
        </is>
      </c>
      <c r="D22" s="8" t="n">
        <v>63</v>
      </c>
      <c r="E22" s="8" t="n">
        <v>80</v>
      </c>
      <c r="F22" s="8" t="n">
        <v>81</v>
      </c>
      <c r="G22" s="9" t="n">
        <v>45</v>
      </c>
      <c r="H22" s="8" t="n">
        <v>90</v>
      </c>
      <c r="I22" s="8" t="n">
        <v>359</v>
      </c>
      <c r="J22" s="8" t="n">
        <v>1</v>
      </c>
    </row>
    <row r="23">
      <c r="A23" s="7" t="n">
        <v>22</v>
      </c>
      <c r="B23" s="7" t="n">
        <v>7</v>
      </c>
      <c r="C23" s="7" t="inlineStr">
        <is>
          <t>赵雨桐</t>
        </is>
      </c>
      <c r="D23" s="8" t="n">
        <v>81</v>
      </c>
      <c r="E23" s="8" t="n">
        <v>62</v>
      </c>
      <c r="F23" s="8" t="n">
        <v>78</v>
      </c>
      <c r="G23" s="8" t="n">
        <v>77</v>
      </c>
      <c r="H23" s="9" t="n">
        <v>59</v>
      </c>
      <c r="I23" s="8" t="n">
        <v>357</v>
      </c>
      <c r="J23" s="8" t="n">
        <v>1</v>
      </c>
    </row>
    <row r="24">
      <c r="A24" s="7" t="n">
        <v>23</v>
      </c>
      <c r="B24" s="7" t="n">
        <v>13</v>
      </c>
      <c r="C24" s="7" t="inlineStr">
        <is>
          <t>马欣怡</t>
        </is>
      </c>
      <c r="D24" s="8" t="n">
        <v>79</v>
      </c>
      <c r="E24" s="9" t="n">
        <v>53</v>
      </c>
      <c r="F24" s="8" t="n">
        <v>85</v>
      </c>
      <c r="G24" s="9" t="n">
        <v>58</v>
      </c>
      <c r="H24" s="8" t="n">
        <v>82</v>
      </c>
      <c r="I24" s="8" t="n">
        <v>357</v>
      </c>
      <c r="J24" s="8" t="n">
        <v>2</v>
      </c>
    </row>
    <row r="25">
      <c r="A25" s="7" t="n">
        <v>24</v>
      </c>
      <c r="B25" s="7" t="n">
        <v>5</v>
      </c>
      <c r="C25" s="7" t="inlineStr">
        <is>
          <t>刘一凡</t>
        </is>
      </c>
      <c r="D25" s="8" t="n">
        <v>69</v>
      </c>
      <c r="E25" s="8" t="n">
        <v>80</v>
      </c>
      <c r="F25" s="8" t="n">
        <v>88</v>
      </c>
      <c r="G25" s="9" t="n">
        <v>41</v>
      </c>
      <c r="H25" s="8" t="n">
        <v>77</v>
      </c>
      <c r="I25" s="8" t="n">
        <v>355</v>
      </c>
      <c r="J25" s="8" t="n">
        <v>1</v>
      </c>
    </row>
    <row r="26">
      <c r="A26" s="7" t="n">
        <v>25</v>
      </c>
      <c r="B26" s="7" t="n">
        <v>12</v>
      </c>
      <c r="C26" s="7" t="inlineStr">
        <is>
          <t>孙博文</t>
        </is>
      </c>
      <c r="D26" s="9" t="n">
        <v>57</v>
      </c>
      <c r="E26" s="8" t="n">
        <v>94</v>
      </c>
      <c r="F26" s="8" t="n">
        <v>79</v>
      </c>
      <c r="G26" s="8" t="n">
        <v>74</v>
      </c>
      <c r="H26" s="9" t="n">
        <v>49</v>
      </c>
      <c r="I26" s="8" t="n">
        <v>353</v>
      </c>
      <c r="J26" s="8" t="n">
        <v>2</v>
      </c>
    </row>
    <row r="27">
      <c r="A27" s="7" t="n">
        <v>26</v>
      </c>
      <c r="B27" s="7" t="n">
        <v>25</v>
      </c>
      <c r="C27" s="7" t="inlineStr">
        <is>
          <t>唐佳慧</t>
        </is>
      </c>
      <c r="D27" s="9" t="n">
        <v>59</v>
      </c>
      <c r="E27" s="8" t="n">
        <v>61</v>
      </c>
      <c r="F27" s="8" t="n">
        <v>86</v>
      </c>
      <c r="G27" s="8" t="n">
        <v>85</v>
      </c>
      <c r="H27" s="8" t="n">
        <v>62</v>
      </c>
      <c r="I27" s="8" t="n">
        <v>353</v>
      </c>
      <c r="J27" s="8" t="n">
        <v>1</v>
      </c>
    </row>
    <row r="28">
      <c r="A28" s="7" t="n">
        <v>27</v>
      </c>
      <c r="B28" s="7" t="n">
        <v>24</v>
      </c>
      <c r="C28" s="7" t="inlineStr">
        <is>
          <t>宋宇航</t>
        </is>
      </c>
      <c r="D28" s="9" t="n">
        <v>57</v>
      </c>
      <c r="E28" s="8" t="n">
        <v>99</v>
      </c>
      <c r="F28" s="8" t="n">
        <v>70</v>
      </c>
      <c r="G28" s="8" t="n">
        <v>65</v>
      </c>
      <c r="H28" s="9" t="n">
        <v>59</v>
      </c>
      <c r="I28" s="8" t="n">
        <v>350</v>
      </c>
      <c r="J28" s="8" t="n">
        <v>2</v>
      </c>
    </row>
    <row r="29">
      <c r="A29" s="7" t="n">
        <v>28</v>
      </c>
      <c r="B29" s="7" t="n">
        <v>1</v>
      </c>
      <c r="C29" s="7" t="inlineStr">
        <is>
          <t>陈小雅</t>
        </is>
      </c>
      <c r="D29" s="8" t="n">
        <v>95</v>
      </c>
      <c r="E29" s="9" t="n">
        <v>55</v>
      </c>
      <c r="F29" s="9" t="n">
        <v>51</v>
      </c>
      <c r="G29" s="8" t="n">
        <v>87</v>
      </c>
      <c r="H29" s="9" t="n">
        <v>59</v>
      </c>
      <c r="I29" s="8" t="n">
        <v>347</v>
      </c>
      <c r="J29" s="8" t="n">
        <v>3</v>
      </c>
    </row>
    <row r="30">
      <c r="A30" s="7" t="n">
        <v>29</v>
      </c>
      <c r="B30" s="7" t="n">
        <v>15</v>
      </c>
      <c r="C30" s="7" t="inlineStr">
        <is>
          <t>胡诗涵</t>
        </is>
      </c>
      <c r="D30" s="9" t="n">
        <v>59</v>
      </c>
      <c r="E30" s="9" t="n">
        <v>50</v>
      </c>
      <c r="F30" s="8" t="n">
        <v>92</v>
      </c>
      <c r="G30" s="9" t="n">
        <v>54</v>
      </c>
      <c r="H30" s="8" t="n">
        <v>91</v>
      </c>
      <c r="I30" s="8" t="n">
        <v>346</v>
      </c>
      <c r="J30" s="8" t="n">
        <v>3</v>
      </c>
    </row>
    <row r="31">
      <c r="A31" s="7" t="n">
        <v>30</v>
      </c>
      <c r="B31" s="7" t="n">
        <v>18</v>
      </c>
      <c r="C31" s="7" t="inlineStr">
        <is>
          <t>何明哲</t>
        </is>
      </c>
      <c r="D31" s="8" t="n">
        <v>65</v>
      </c>
      <c r="E31" s="8" t="n">
        <v>71</v>
      </c>
      <c r="F31" s="8" t="n">
        <v>72</v>
      </c>
      <c r="G31" s="9" t="n">
        <v>53</v>
      </c>
      <c r="H31" s="8" t="n">
        <v>84</v>
      </c>
      <c r="I31" s="8" t="n">
        <v>345</v>
      </c>
      <c r="J31" s="8" t="n">
        <v>1</v>
      </c>
    </row>
    <row r="32">
      <c r="A32" s="7" t="n">
        <v>31</v>
      </c>
      <c r="B32" s="7" t="n">
        <v>9</v>
      </c>
      <c r="C32" s="7" t="inlineStr">
        <is>
          <t>周梦琪</t>
        </is>
      </c>
      <c r="D32" s="8" t="n">
        <v>76</v>
      </c>
      <c r="E32" s="8" t="n">
        <v>65</v>
      </c>
      <c r="F32" s="9" t="n">
        <v>59</v>
      </c>
      <c r="G32" s="9" t="n">
        <v>53</v>
      </c>
      <c r="H32" s="8" t="n">
        <v>90</v>
      </c>
      <c r="I32" s="8" t="n">
        <v>343</v>
      </c>
      <c r="J32" s="8" t="n">
        <v>2</v>
      </c>
    </row>
    <row r="33">
      <c r="A33" s="7" t="n">
        <v>32</v>
      </c>
      <c r="B33" s="7" t="n">
        <v>40</v>
      </c>
      <c r="C33" s="7" t="inlineStr">
        <is>
          <t>熊家俊</t>
        </is>
      </c>
      <c r="D33" s="8" t="n">
        <v>67</v>
      </c>
      <c r="E33" s="9" t="n">
        <v>57</v>
      </c>
      <c r="F33" s="8" t="n">
        <v>73</v>
      </c>
      <c r="G33" s="8" t="n">
        <v>88</v>
      </c>
      <c r="H33" s="9" t="n">
        <v>52</v>
      </c>
      <c r="I33" s="8" t="n">
        <v>337</v>
      </c>
      <c r="J33" s="8" t="n">
        <v>2</v>
      </c>
    </row>
    <row r="34">
      <c r="A34" s="7" t="n">
        <v>33</v>
      </c>
      <c r="B34" s="7" t="n">
        <v>16</v>
      </c>
      <c r="C34" s="7" t="inlineStr">
        <is>
          <t>郭子轩</t>
        </is>
      </c>
      <c r="D34" s="8" t="n">
        <v>73</v>
      </c>
      <c r="E34" s="9" t="n">
        <v>53</v>
      </c>
      <c r="F34" s="8" t="n">
        <v>64</v>
      </c>
      <c r="G34" s="8" t="n">
        <v>95</v>
      </c>
      <c r="H34" s="9" t="n">
        <v>48</v>
      </c>
      <c r="I34" s="8" t="n">
        <v>333</v>
      </c>
      <c r="J34" s="8" t="n">
        <v>2</v>
      </c>
    </row>
    <row r="35">
      <c r="A35" s="7" t="n">
        <v>34</v>
      </c>
      <c r="B35" s="7" t="n">
        <v>21</v>
      </c>
      <c r="C35" s="7" t="inlineStr">
        <is>
          <t>郑晓彤</t>
        </is>
      </c>
      <c r="D35" s="8" t="n">
        <v>70</v>
      </c>
      <c r="E35" s="9" t="n">
        <v>58</v>
      </c>
      <c r="F35" s="8" t="n">
        <v>79</v>
      </c>
      <c r="G35" s="8" t="n">
        <v>64</v>
      </c>
      <c r="H35" s="9" t="n">
        <v>59</v>
      </c>
      <c r="I35" s="8" t="n">
        <v>330</v>
      </c>
      <c r="J35" s="8" t="n">
        <v>2</v>
      </c>
    </row>
    <row r="36">
      <c r="A36" s="7" t="n">
        <v>35</v>
      </c>
      <c r="B36" s="7" t="n">
        <v>2</v>
      </c>
      <c r="C36" s="7" t="inlineStr">
        <is>
          <t>李思远</t>
        </is>
      </c>
      <c r="D36" s="8" t="n">
        <v>70</v>
      </c>
      <c r="E36" s="8" t="n">
        <v>62</v>
      </c>
      <c r="F36" s="9" t="n">
        <v>58</v>
      </c>
      <c r="G36" s="8" t="n">
        <v>87</v>
      </c>
      <c r="H36" s="9" t="n">
        <v>48</v>
      </c>
      <c r="I36" s="8" t="n">
        <v>325</v>
      </c>
      <c r="J36" s="8" t="n">
        <v>2</v>
      </c>
    </row>
    <row r="37">
      <c r="A37" s="7" t="n">
        <v>36</v>
      </c>
      <c r="B37" s="7" t="n">
        <v>36</v>
      </c>
      <c r="C37" s="7" t="inlineStr">
        <is>
          <t>余志远</t>
        </is>
      </c>
      <c r="D37" s="8" t="n">
        <v>76</v>
      </c>
      <c r="E37" s="9" t="n">
        <v>55</v>
      </c>
      <c r="F37" s="8" t="n">
        <v>68</v>
      </c>
      <c r="G37" s="8" t="n">
        <v>67</v>
      </c>
      <c r="H37" s="9" t="n">
        <v>52</v>
      </c>
      <c r="I37" s="8" t="n">
        <v>318</v>
      </c>
      <c r="J37" s="8" t="n">
        <v>2</v>
      </c>
    </row>
    <row r="38">
      <c r="A38" s="7" t="n">
        <v>37</v>
      </c>
      <c r="B38" s="7" t="n">
        <v>27</v>
      </c>
      <c r="C38" s="7" t="inlineStr">
        <is>
          <t>邓欣妍</t>
        </is>
      </c>
      <c r="D38" s="8" t="n">
        <v>84</v>
      </c>
      <c r="E38" s="9" t="n">
        <v>57</v>
      </c>
      <c r="F38" s="8" t="n">
        <v>66</v>
      </c>
      <c r="G38" s="9" t="n">
        <v>48</v>
      </c>
      <c r="H38" s="9" t="n">
        <v>57</v>
      </c>
      <c r="I38" s="8" t="n">
        <v>312</v>
      </c>
      <c r="J38" s="8" t="n">
        <v>3</v>
      </c>
    </row>
    <row r="39">
      <c r="A39" s="7" t="n">
        <v>38</v>
      </c>
      <c r="B39" s="7" t="n">
        <v>31</v>
      </c>
      <c r="C39" s="7" t="inlineStr">
        <is>
          <t>董思雨</t>
        </is>
      </c>
      <c r="D39" s="9" t="n">
        <v>58</v>
      </c>
      <c r="E39" s="9" t="n">
        <v>55</v>
      </c>
      <c r="F39" s="9" t="n">
        <v>59</v>
      </c>
      <c r="G39" s="8" t="n">
        <v>80</v>
      </c>
      <c r="H39" s="9" t="n">
        <v>52</v>
      </c>
      <c r="I39" s="8" t="n">
        <v>304</v>
      </c>
      <c r="J39" s="8" t="n">
        <v>4</v>
      </c>
    </row>
    <row r="40">
      <c r="A40" s="7" t="n">
        <v>39</v>
      </c>
      <c r="B40" s="7" t="n">
        <v>10</v>
      </c>
      <c r="C40" s="7" t="inlineStr">
        <is>
          <t>吴俊杰</t>
        </is>
      </c>
      <c r="D40" s="8" t="n">
        <v>76</v>
      </c>
      <c r="E40" s="9" t="n">
        <v>54</v>
      </c>
      <c r="F40" s="9" t="n">
        <v>55</v>
      </c>
      <c r="G40" s="8" t="n">
        <v>64</v>
      </c>
      <c r="H40" s="9" t="n">
        <v>48</v>
      </c>
      <c r="I40" s="8" t="n">
        <v>297</v>
      </c>
      <c r="J40" s="8" t="n">
        <v>3</v>
      </c>
    </row>
    <row r="41">
      <c r="A41" s="7" t="n">
        <v>40</v>
      </c>
      <c r="B41" s="7" t="n">
        <v>4</v>
      </c>
      <c r="C41" s="7" t="inlineStr">
        <is>
          <t>陈嘉怡</t>
        </is>
      </c>
      <c r="D41" s="8" t="n">
        <v>82</v>
      </c>
      <c r="E41" s="9" t="n">
        <v>50</v>
      </c>
      <c r="F41" s="9" t="n">
        <v>51</v>
      </c>
      <c r="G41" s="9" t="n">
        <v>45</v>
      </c>
      <c r="H41" s="9" t="n">
        <v>55</v>
      </c>
      <c r="I41" s="8" t="n">
        <v>283</v>
      </c>
      <c r="J41" s="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8" max="8"/>
  </cols>
  <sheetData>
    <row r="1">
      <c r="A1" s="1" t="inlineStr">
        <is>
          <t>各科平均分（保留 1 位小数）</t>
        </is>
      </c>
    </row>
    <row r="2">
      <c r="A2" s="6" t="inlineStr">
        <is>
          <t>数据区：成绩明细(按总分降序) C..G 列，40 人</t>
        </is>
      </c>
    </row>
    <row r="4">
      <c r="A4" s="5" t="inlineStr">
        <is>
          <t>科目</t>
        </is>
      </c>
      <c r="B4" s="5" t="inlineStr">
        <is>
          <t>平均分</t>
        </is>
      </c>
      <c r="C4" s="5" t="inlineStr">
        <is>
          <t>最高分</t>
        </is>
      </c>
      <c r="D4" s="5" t="inlineStr">
        <is>
          <t>最低分</t>
        </is>
      </c>
      <c r="E4" s="5" t="inlineStr">
        <is>
          <t>不及格人数(&lt;60)</t>
        </is>
      </c>
    </row>
    <row r="5">
      <c r="A5" s="8" t="inlineStr">
        <is>
          <t>语文</t>
        </is>
      </c>
      <c r="B5" s="8" t="n">
        <v>77.3</v>
      </c>
      <c r="C5" s="8" t="n">
        <v>98</v>
      </c>
      <c r="D5" s="8" t="n">
        <v>55</v>
      </c>
      <c r="E5" s="8" t="n">
        <v>6</v>
      </c>
      <c r="H5" s="6" t="inlineStr">
        <is>
          <t>单位：分（各科满分 100）</t>
        </is>
      </c>
    </row>
    <row r="6">
      <c r="A6" s="8" t="inlineStr">
        <is>
          <t>数学</t>
        </is>
      </c>
      <c r="B6" s="8" t="n">
        <v>72.2</v>
      </c>
      <c r="C6" s="8" t="n">
        <v>99</v>
      </c>
      <c r="D6" s="8" t="n">
        <v>48</v>
      </c>
      <c r="E6" s="8" t="n">
        <v>13</v>
      </c>
    </row>
    <row r="7">
      <c r="A7" s="8" t="inlineStr">
        <is>
          <t>英语</t>
        </is>
      </c>
      <c r="B7" s="8" t="n">
        <v>74.7</v>
      </c>
      <c r="C7" s="8" t="n">
        <v>96</v>
      </c>
      <c r="D7" s="8" t="n">
        <v>51</v>
      </c>
      <c r="E7" s="8" t="n">
        <v>7</v>
      </c>
    </row>
    <row r="8">
      <c r="A8" s="8" t="inlineStr">
        <is>
          <t>物理</t>
        </is>
      </c>
      <c r="B8" s="8" t="n">
        <v>68.3</v>
      </c>
      <c r="C8" s="8" t="n">
        <v>95</v>
      </c>
      <c r="D8" s="8" t="n">
        <v>41</v>
      </c>
      <c r="E8" s="8" t="n">
        <v>14</v>
      </c>
    </row>
    <row r="9">
      <c r="A9" s="8" t="inlineStr">
        <is>
          <t>化学</t>
        </is>
      </c>
      <c r="B9" s="8" t="n">
        <v>67.90000000000001</v>
      </c>
      <c r="C9" s="8" t="n">
        <v>94</v>
      </c>
      <c r="D9" s="8" t="n">
        <v>46</v>
      </c>
      <c r="E9" s="8" t="n">
        <v>19</v>
      </c>
    </row>
    <row r="10">
      <c r="A10" s="4" t="inlineStr">
        <is>
          <t>全科</t>
        </is>
      </c>
      <c r="B10" s="4">
        <f>ROUND(AVERAGE(B5:B9),1)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数据透视：分数段 × 科目（人数）</t>
        </is>
      </c>
    </row>
    <row r="2">
      <c r="A2" s="6" t="inlineStr">
        <is>
          <t>这就是"不用你记透视表怎么建"的那张透视：行=科目，列=分数段，值=人数。</t>
        </is>
      </c>
    </row>
    <row r="4">
      <c r="A4" s="5" t="inlineStr">
        <is>
          <t>科目</t>
        </is>
      </c>
      <c r="B4" s="5" t="inlineStr">
        <is>
          <t>优秀(≥85)</t>
        </is>
      </c>
      <c r="C4" s="5" t="inlineStr">
        <is>
          <t>良好(70—84)</t>
        </is>
      </c>
      <c r="D4" s="5" t="inlineStr">
        <is>
          <t>及格(60—69)</t>
        </is>
      </c>
      <c r="E4" s="5" t="inlineStr">
        <is>
          <t>不及格(&lt;60)</t>
        </is>
      </c>
      <c r="F4" s="5" t="inlineStr">
        <is>
          <t>合计</t>
        </is>
      </c>
      <c r="G4" s="5" t="inlineStr">
        <is>
          <t>平均分</t>
        </is>
      </c>
      <c r="H4" s="5" t="inlineStr">
        <is>
          <t>低于平均分人数</t>
        </is>
      </c>
    </row>
    <row r="5">
      <c r="A5" s="8" t="inlineStr">
        <is>
          <t>语文</t>
        </is>
      </c>
      <c r="B5" s="8" t="n">
        <v>11</v>
      </c>
      <c r="C5" s="8" t="n">
        <v>17</v>
      </c>
      <c r="D5" s="8" t="n">
        <v>6</v>
      </c>
      <c r="E5" s="8" t="n">
        <v>6</v>
      </c>
      <c r="F5" s="8">
        <f>SUM(B5:E5)</f>
        <v/>
      </c>
      <c r="G5" s="8" t="n">
        <v>77.3</v>
      </c>
      <c r="H5" s="8" t="n">
        <v>21</v>
      </c>
    </row>
    <row r="6">
      <c r="A6" s="8" t="inlineStr">
        <is>
          <t>数学</t>
        </is>
      </c>
      <c r="B6" s="8" t="n">
        <v>13</v>
      </c>
      <c r="C6" s="8" t="n">
        <v>8</v>
      </c>
      <c r="D6" s="8" t="n">
        <v>6</v>
      </c>
      <c r="E6" s="8" t="n">
        <v>13</v>
      </c>
      <c r="F6" s="8">
        <f>SUM(B6:E6)</f>
        <v/>
      </c>
      <c r="G6" s="8" t="n">
        <v>72.2</v>
      </c>
      <c r="H6" s="8" t="n">
        <v>22</v>
      </c>
    </row>
    <row r="7">
      <c r="A7" s="8" t="inlineStr">
        <is>
          <t>英语</t>
        </is>
      </c>
      <c r="B7" s="8" t="n">
        <v>13</v>
      </c>
      <c r="C7" s="8" t="n">
        <v>12</v>
      </c>
      <c r="D7" s="8" t="n">
        <v>8</v>
      </c>
      <c r="E7" s="8" t="n">
        <v>7</v>
      </c>
      <c r="F7" s="8">
        <f>SUM(B7:E7)</f>
        <v/>
      </c>
      <c r="G7" s="8" t="n">
        <v>74.7</v>
      </c>
      <c r="H7" s="8" t="n">
        <v>18</v>
      </c>
    </row>
    <row r="8">
      <c r="A8" s="8" t="inlineStr">
        <is>
          <t>物理</t>
        </is>
      </c>
      <c r="B8" s="8" t="n">
        <v>9</v>
      </c>
      <c r="C8" s="8" t="n">
        <v>11</v>
      </c>
      <c r="D8" s="8" t="n">
        <v>6</v>
      </c>
      <c r="E8" s="8" t="n">
        <v>14</v>
      </c>
      <c r="F8" s="8">
        <f>SUM(B8:E8)</f>
        <v/>
      </c>
      <c r="G8" s="8" t="n">
        <v>68.3</v>
      </c>
      <c r="H8" s="8" t="n">
        <v>20</v>
      </c>
    </row>
    <row r="9">
      <c r="A9" s="8" t="inlineStr">
        <is>
          <t>化学</t>
        </is>
      </c>
      <c r="B9" s="8" t="n">
        <v>8</v>
      </c>
      <c r="C9" s="8" t="n">
        <v>9</v>
      </c>
      <c r="D9" s="8" t="n">
        <v>4</v>
      </c>
      <c r="E9" s="8" t="n">
        <v>19</v>
      </c>
      <c r="F9" s="8">
        <f>SUM(B9:E9)</f>
        <v/>
      </c>
      <c r="G9" s="8" t="n">
        <v>67.90000000000001</v>
      </c>
      <c r="H9" s="8" t="n">
        <v>22</v>
      </c>
    </row>
    <row r="10">
      <c r="A10" s="10" t="inlineStr">
        <is>
          <t>合计</t>
        </is>
      </c>
      <c r="B10" s="10">
        <f>SUM(B5:B9)</f>
        <v/>
      </c>
      <c r="C10" s="10">
        <f>SUM(C5:C9)</f>
        <v/>
      </c>
      <c r="D10" s="10">
        <f>SUM(D5:D9)</f>
        <v/>
      </c>
      <c r="E10" s="10">
        <f>SUM(E5:E9)</f>
        <v/>
      </c>
      <c r="F10" s="10">
        <f>SUM(F5:F9)</f>
        <v/>
      </c>
      <c r="G10" s="11" t="n"/>
      <c r="H10" s="11" t="n"/>
    </row>
    <row r="12">
      <c r="A12" s="6" t="inlineStr">
        <is>
          <t>注：不及格列 = 该科不及格人数；"低于平均分人数"用未取整精确均值判定。</t>
        </is>
      </c>
    </row>
    <row r="14">
      <c r="A14" s="4" t="inlineStr">
        <is>
          <t>图表数据区（分数段为行、科目为列 —— 上面透视的转置视图，供"每科一图"取数）</t>
        </is>
      </c>
    </row>
    <row r="15">
      <c r="A15" s="5" t="inlineStr">
        <is>
          <t>分数段</t>
        </is>
      </c>
      <c r="B15" s="5" t="inlineStr">
        <is>
          <t>语文</t>
        </is>
      </c>
      <c r="C15" s="5" t="inlineStr">
        <is>
          <t>数学</t>
        </is>
      </c>
      <c r="D15" s="5" t="inlineStr">
        <is>
          <t>英语</t>
        </is>
      </c>
      <c r="E15" s="5" t="inlineStr">
        <is>
          <t>物理</t>
        </is>
      </c>
      <c r="F15" s="5" t="inlineStr">
        <is>
          <t>化学</t>
        </is>
      </c>
    </row>
    <row r="16">
      <c r="A16" s="8" t="inlineStr">
        <is>
          <t>优秀(≥85)</t>
        </is>
      </c>
      <c r="B16" s="8" t="n">
        <v>11</v>
      </c>
      <c r="C16" s="8" t="n">
        <v>13</v>
      </c>
      <c r="D16" s="8" t="n">
        <v>13</v>
      </c>
      <c r="E16" s="8" t="n">
        <v>9</v>
      </c>
      <c r="F16" s="8" t="n">
        <v>8</v>
      </c>
    </row>
    <row r="17">
      <c r="A17" s="8" t="inlineStr">
        <is>
          <t>良好(70—84)</t>
        </is>
      </c>
      <c r="B17" s="8" t="n">
        <v>17</v>
      </c>
      <c r="C17" s="8" t="n">
        <v>8</v>
      </c>
      <c r="D17" s="8" t="n">
        <v>12</v>
      </c>
      <c r="E17" s="8" t="n">
        <v>11</v>
      </c>
      <c r="F17" s="8" t="n">
        <v>9</v>
      </c>
    </row>
    <row r="18">
      <c r="A18" s="8" t="inlineStr">
        <is>
          <t>及格(60—69)</t>
        </is>
      </c>
      <c r="B18" s="8" t="n">
        <v>6</v>
      </c>
      <c r="C18" s="8" t="n">
        <v>6</v>
      </c>
      <c r="D18" s="8" t="n">
        <v>8</v>
      </c>
      <c r="E18" s="8" t="n">
        <v>6</v>
      </c>
      <c r="F18" s="8" t="n">
        <v>4</v>
      </c>
    </row>
    <row r="19">
      <c r="A19" s="8" t="inlineStr">
        <is>
          <t>不及格(&lt;60)</t>
        </is>
      </c>
      <c r="B19" s="8" t="n">
        <v>6</v>
      </c>
      <c r="C19" s="8" t="n">
        <v>13</v>
      </c>
      <c r="D19" s="8" t="n">
        <v>7</v>
      </c>
      <c r="E19" s="8" t="n">
        <v>14</v>
      </c>
      <c r="F19" s="8" t="n">
        <v>19</v>
      </c>
    </row>
    <row r="22">
      <c r="A22" s="4" t="inlineStr">
        <is>
          <t>各科分数段分布图（每科一张；图下方标注该科平均分与低于平均分的人数）</t>
        </is>
      </c>
    </row>
    <row r="38">
      <c r="A38" s="3" t="inlineStr">
        <is>
          <t>平均分：77.3 分（保留 1 位小数）</t>
        </is>
      </c>
      <c r="F38" s="3" t="inlineStr">
        <is>
          <t>平均分：72.2 分（保留 1 位小数）</t>
        </is>
      </c>
    </row>
    <row r="39">
      <c r="A39" s="3" t="inlineStr">
        <is>
          <t>低于平均分：21 人（占 52.5%）</t>
        </is>
      </c>
      <c r="F39" s="3" t="inlineStr">
        <is>
          <t>低于平均分：22 人（占 55.0%）</t>
        </is>
      </c>
    </row>
    <row r="40">
      <c r="A40" s="3" t="inlineStr">
        <is>
          <t>不及格(&lt;60)：6 人</t>
        </is>
      </c>
      <c r="F40" s="3" t="inlineStr">
        <is>
          <t>不及格(&lt;60)：13 人</t>
        </is>
      </c>
    </row>
    <row r="58">
      <c r="A58" s="3" t="inlineStr">
        <is>
          <t>平均分：74.7 分（保留 1 位小数）</t>
        </is>
      </c>
      <c r="F58" s="3" t="inlineStr">
        <is>
          <t>平均分：68.3 分（保留 1 位小数）</t>
        </is>
      </c>
    </row>
    <row r="59">
      <c r="A59" s="3" t="inlineStr">
        <is>
          <t>低于平均分：18 人（占 45.0%）</t>
        </is>
      </c>
      <c r="F59" s="3" t="inlineStr">
        <is>
          <t>低于平均分：20 人（占 50.0%）</t>
        </is>
      </c>
    </row>
    <row r="60">
      <c r="A60" s="3" t="inlineStr">
        <is>
          <t>不及格(&lt;60)：7 人</t>
        </is>
      </c>
      <c r="F60" s="3" t="inlineStr">
        <is>
          <t>不及格(&lt;60)：14 人</t>
        </is>
      </c>
    </row>
    <row r="78">
      <c r="A78" s="3" t="inlineStr">
        <is>
          <t>平均分：67.9 分（保留 1 位小数）</t>
        </is>
      </c>
    </row>
    <row r="79">
      <c r="A79" s="3" t="inlineStr">
        <is>
          <t>低于平均分：22 人（占 55.0%）</t>
        </is>
      </c>
    </row>
    <row r="80">
      <c r="A80" s="3" t="inlineStr">
        <is>
          <t>不及格(&lt;60)：19 人</t>
        </is>
      </c>
    </row>
  </sheetData>
  <pageMargins left="0.75" right="0.75" top="1" bottom="1" header="0.5" footer="0.5"/>
  <pageSetup orientation="landscape" fitToHeight="0" fitToWidth="1"/>
  <rowBreaks count="3" manualBreakCount="3">
    <brk id="20" min="0" max="16383" man="1"/>
    <brk id="40" min="0" max="16383" man="1"/>
    <brk id="60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低于平均分单元格高亮</t>
        </is>
      </c>
    </row>
    <row r="2">
      <c r="A2" s="6" t="inlineStr">
        <is>
          <t>浅黄底 = 该生该科分数低于该科平均分。判定用未取整精确均值。</t>
        </is>
      </c>
    </row>
    <row r="4">
      <c r="A4" s="5" t="inlineStr">
        <is>
          <t>排名</t>
        </is>
      </c>
      <c r="B4" s="5" t="inlineStr">
        <is>
          <t>学号</t>
        </is>
      </c>
      <c r="C4" s="5" t="inlineStr">
        <is>
          <t>姓名</t>
        </is>
      </c>
      <c r="D4" s="5" t="inlineStr">
        <is>
          <t>语文</t>
        </is>
      </c>
      <c r="E4" s="5" t="inlineStr">
        <is>
          <t>数学</t>
        </is>
      </c>
      <c r="F4" s="5" t="inlineStr">
        <is>
          <t>英语</t>
        </is>
      </c>
      <c r="G4" s="5" t="inlineStr">
        <is>
          <t>物理</t>
        </is>
      </c>
      <c r="H4" s="5" t="inlineStr">
        <is>
          <t>化学</t>
        </is>
      </c>
      <c r="I4" s="5" t="inlineStr">
        <is>
          <t>总分</t>
        </is>
      </c>
    </row>
    <row r="5">
      <c r="A5" s="12" t="n">
        <v>1</v>
      </c>
      <c r="B5" s="12" t="n">
        <v>35</v>
      </c>
      <c r="C5" s="12" t="inlineStr">
        <is>
          <t>蔡梦洁</t>
        </is>
      </c>
      <c r="D5" s="8" t="n">
        <v>98</v>
      </c>
      <c r="E5" s="8" t="n">
        <v>82</v>
      </c>
      <c r="F5" s="13" t="n">
        <v>67</v>
      </c>
      <c r="G5" s="8" t="n">
        <v>89</v>
      </c>
      <c r="H5" s="8" t="n">
        <v>83</v>
      </c>
      <c r="I5" s="8" t="n">
        <v>419</v>
      </c>
    </row>
    <row r="6">
      <c r="A6" s="12" t="n">
        <v>2</v>
      </c>
      <c r="B6" s="12" t="n">
        <v>6</v>
      </c>
      <c r="C6" s="12" t="inlineStr">
        <is>
          <t>张梓萱</t>
        </is>
      </c>
      <c r="D6" s="13" t="n">
        <v>67</v>
      </c>
      <c r="E6" s="8" t="n">
        <v>93</v>
      </c>
      <c r="F6" s="8" t="n">
        <v>91</v>
      </c>
      <c r="G6" s="8" t="n">
        <v>84</v>
      </c>
      <c r="H6" s="8" t="n">
        <v>76</v>
      </c>
      <c r="I6" s="8" t="n">
        <v>411</v>
      </c>
    </row>
    <row r="7">
      <c r="A7" s="12" t="n">
        <v>3</v>
      </c>
      <c r="B7" s="12" t="n">
        <v>22</v>
      </c>
      <c r="C7" s="12" t="inlineStr">
        <is>
          <t>梁家豪</t>
        </is>
      </c>
      <c r="D7" s="8" t="n">
        <v>95</v>
      </c>
      <c r="E7" s="8" t="n">
        <v>92</v>
      </c>
      <c r="F7" s="8" t="n">
        <v>85</v>
      </c>
      <c r="G7" s="9" t="n">
        <v>54</v>
      </c>
      <c r="H7" s="8" t="n">
        <v>85</v>
      </c>
      <c r="I7" s="8" t="n">
        <v>411</v>
      </c>
    </row>
    <row r="8">
      <c r="A8" s="12" t="n">
        <v>4</v>
      </c>
      <c r="B8" s="12" t="n">
        <v>28</v>
      </c>
      <c r="C8" s="12" t="inlineStr">
        <is>
          <t>冯俊凯</t>
        </is>
      </c>
      <c r="D8" s="8" t="n">
        <v>90</v>
      </c>
      <c r="E8" s="8" t="n">
        <v>82</v>
      </c>
      <c r="F8" s="13" t="n">
        <v>66</v>
      </c>
      <c r="G8" s="8" t="n">
        <v>87</v>
      </c>
      <c r="H8" s="8" t="n">
        <v>79</v>
      </c>
      <c r="I8" s="8" t="n">
        <v>404</v>
      </c>
    </row>
    <row r="9">
      <c r="A9" s="12" t="n">
        <v>5</v>
      </c>
      <c r="B9" s="12" t="n">
        <v>39</v>
      </c>
      <c r="C9" s="12" t="inlineStr">
        <is>
          <t>田欣怡</t>
        </is>
      </c>
      <c r="D9" s="8" t="n">
        <v>95</v>
      </c>
      <c r="E9" s="13" t="n">
        <v>67</v>
      </c>
      <c r="F9" s="8" t="n">
        <v>90</v>
      </c>
      <c r="G9" s="8" t="n">
        <v>72</v>
      </c>
      <c r="H9" s="8" t="n">
        <v>80</v>
      </c>
      <c r="I9" s="8" t="n">
        <v>404</v>
      </c>
    </row>
    <row r="10">
      <c r="A10" s="12" t="n">
        <v>6</v>
      </c>
      <c r="B10" s="12" t="n">
        <v>20</v>
      </c>
      <c r="C10" s="12" t="inlineStr">
        <is>
          <t>罗志强</t>
        </is>
      </c>
      <c r="D10" s="8" t="n">
        <v>93</v>
      </c>
      <c r="E10" s="8" t="n">
        <v>88</v>
      </c>
      <c r="F10" s="13" t="n">
        <v>60</v>
      </c>
      <c r="G10" s="8" t="n">
        <v>74</v>
      </c>
      <c r="H10" s="8" t="n">
        <v>88</v>
      </c>
      <c r="I10" s="8" t="n">
        <v>403</v>
      </c>
    </row>
    <row r="11">
      <c r="A11" s="12" t="n">
        <v>7</v>
      </c>
      <c r="B11" s="12" t="n">
        <v>3</v>
      </c>
      <c r="C11" s="12" t="inlineStr">
        <is>
          <t>王浩然</t>
        </is>
      </c>
      <c r="D11" s="8" t="n">
        <v>98</v>
      </c>
      <c r="E11" s="8" t="n">
        <v>95</v>
      </c>
      <c r="F11" s="8" t="n">
        <v>84</v>
      </c>
      <c r="G11" s="9" t="n">
        <v>45</v>
      </c>
      <c r="H11" s="8" t="n">
        <v>79</v>
      </c>
      <c r="I11" s="8" t="n">
        <v>401</v>
      </c>
    </row>
    <row r="12">
      <c r="A12" s="12" t="n">
        <v>8</v>
      </c>
      <c r="B12" s="12" t="n">
        <v>14</v>
      </c>
      <c r="C12" s="12" t="inlineStr">
        <is>
          <t>朱天宇</t>
        </is>
      </c>
      <c r="D12" s="8" t="n">
        <v>94</v>
      </c>
      <c r="E12" s="13" t="n">
        <v>71</v>
      </c>
      <c r="F12" s="8" t="n">
        <v>86</v>
      </c>
      <c r="G12" s="9" t="n">
        <v>52</v>
      </c>
      <c r="H12" s="8" t="n">
        <v>87</v>
      </c>
      <c r="I12" s="8" t="n">
        <v>390</v>
      </c>
    </row>
    <row r="13">
      <c r="A13" s="12" t="n">
        <v>9</v>
      </c>
      <c r="B13" s="12" t="n">
        <v>26</v>
      </c>
      <c r="C13" s="12" t="inlineStr">
        <is>
          <t>许文博</t>
        </is>
      </c>
      <c r="D13" s="13" t="n">
        <v>68</v>
      </c>
      <c r="E13" s="8" t="n">
        <v>89</v>
      </c>
      <c r="F13" s="8" t="n">
        <v>81</v>
      </c>
      <c r="G13" s="13" t="n">
        <v>65</v>
      </c>
      <c r="H13" s="8" t="n">
        <v>83</v>
      </c>
      <c r="I13" s="8" t="n">
        <v>386</v>
      </c>
    </row>
    <row r="14">
      <c r="A14" s="12" t="n">
        <v>10</v>
      </c>
      <c r="B14" s="12" t="n">
        <v>11</v>
      </c>
      <c r="C14" s="12" t="inlineStr">
        <is>
          <t>徐若曦</t>
        </is>
      </c>
      <c r="D14" s="13" t="n">
        <v>77</v>
      </c>
      <c r="E14" s="13" t="n">
        <v>70</v>
      </c>
      <c r="F14" s="8" t="n">
        <v>88</v>
      </c>
      <c r="G14" s="9" t="n">
        <v>56</v>
      </c>
      <c r="H14" s="8" t="n">
        <v>93</v>
      </c>
      <c r="I14" s="8" t="n">
        <v>384</v>
      </c>
    </row>
    <row r="15">
      <c r="A15" s="12" t="n">
        <v>11</v>
      </c>
      <c r="B15" s="12" t="n">
        <v>19</v>
      </c>
      <c r="C15" s="12" t="inlineStr">
        <is>
          <t>高语嫣</t>
        </is>
      </c>
      <c r="D15" s="13" t="n">
        <v>72</v>
      </c>
      <c r="E15" s="8" t="n">
        <v>92</v>
      </c>
      <c r="F15" s="8" t="n">
        <v>93</v>
      </c>
      <c r="G15" s="8" t="n">
        <v>81</v>
      </c>
      <c r="H15" s="9" t="n">
        <v>46</v>
      </c>
      <c r="I15" s="8" t="n">
        <v>384</v>
      </c>
    </row>
    <row r="16">
      <c r="A16" s="12" t="n">
        <v>12</v>
      </c>
      <c r="B16" s="12" t="n">
        <v>33</v>
      </c>
      <c r="C16" s="12" t="inlineStr">
        <is>
          <t>潘雨欣</t>
        </is>
      </c>
      <c r="D16" s="8" t="n">
        <v>79</v>
      </c>
      <c r="E16" s="8" t="n">
        <v>86</v>
      </c>
      <c r="F16" s="8" t="n">
        <v>79</v>
      </c>
      <c r="G16" s="8" t="n">
        <v>73</v>
      </c>
      <c r="H16" s="9" t="n">
        <v>58</v>
      </c>
      <c r="I16" s="8" t="n">
        <v>375</v>
      </c>
    </row>
    <row r="17">
      <c r="A17" s="12" t="n">
        <v>13</v>
      </c>
      <c r="B17" s="12" t="n">
        <v>23</v>
      </c>
      <c r="C17" s="12" t="inlineStr">
        <is>
          <t>谢婉婷</t>
        </is>
      </c>
      <c r="D17" s="13" t="n">
        <v>75</v>
      </c>
      <c r="E17" s="8" t="n">
        <v>97</v>
      </c>
      <c r="F17" s="9" t="n">
        <v>53</v>
      </c>
      <c r="G17" s="9" t="n">
        <v>54</v>
      </c>
      <c r="H17" s="8" t="n">
        <v>94</v>
      </c>
      <c r="I17" s="8" t="n">
        <v>373</v>
      </c>
    </row>
    <row r="18">
      <c r="A18" s="12" t="n">
        <v>14</v>
      </c>
      <c r="B18" s="12" t="n">
        <v>37</v>
      </c>
      <c r="C18" s="12" t="inlineStr">
        <is>
          <t>杜思琪</t>
        </is>
      </c>
      <c r="D18" s="8" t="n">
        <v>84</v>
      </c>
      <c r="E18" s="9" t="n">
        <v>48</v>
      </c>
      <c r="F18" s="8" t="n">
        <v>96</v>
      </c>
      <c r="G18" s="8" t="n">
        <v>86</v>
      </c>
      <c r="H18" s="9" t="n">
        <v>58</v>
      </c>
      <c r="I18" s="8" t="n">
        <v>372</v>
      </c>
    </row>
    <row r="19">
      <c r="A19" s="12" t="n">
        <v>15</v>
      </c>
      <c r="B19" s="12" t="n">
        <v>32</v>
      </c>
      <c r="C19" s="12" t="inlineStr">
        <is>
          <t>袁博文</t>
        </is>
      </c>
      <c r="D19" s="8" t="n">
        <v>98</v>
      </c>
      <c r="E19" s="8" t="n">
        <v>75</v>
      </c>
      <c r="F19" s="8" t="n">
        <v>88</v>
      </c>
      <c r="G19" s="9" t="n">
        <v>44</v>
      </c>
      <c r="H19" s="13" t="n">
        <v>66</v>
      </c>
      <c r="I19" s="8" t="n">
        <v>371</v>
      </c>
    </row>
    <row r="20">
      <c r="A20" s="12" t="n">
        <v>16</v>
      </c>
      <c r="B20" s="12" t="n">
        <v>17</v>
      </c>
      <c r="C20" s="12" t="inlineStr">
        <is>
          <t>林静怡</t>
        </is>
      </c>
      <c r="D20" s="8" t="n">
        <v>79</v>
      </c>
      <c r="E20" s="13" t="n">
        <v>65</v>
      </c>
      <c r="F20" s="8" t="n">
        <v>79</v>
      </c>
      <c r="G20" s="8" t="n">
        <v>80</v>
      </c>
      <c r="H20" s="13" t="n">
        <v>65</v>
      </c>
      <c r="I20" s="8" t="n">
        <v>368</v>
      </c>
    </row>
    <row r="21">
      <c r="A21" s="12" t="n">
        <v>17</v>
      </c>
      <c r="B21" s="12" t="n">
        <v>34</v>
      </c>
      <c r="C21" s="12" t="inlineStr">
        <is>
          <t>蒋天磊</t>
        </is>
      </c>
      <c r="D21" s="8" t="n">
        <v>90</v>
      </c>
      <c r="E21" s="9" t="n">
        <v>48</v>
      </c>
      <c r="F21" s="8" t="n">
        <v>93</v>
      </c>
      <c r="G21" s="8" t="n">
        <v>86</v>
      </c>
      <c r="H21" s="9" t="n">
        <v>49</v>
      </c>
      <c r="I21" s="8" t="n">
        <v>366</v>
      </c>
    </row>
    <row r="22">
      <c r="A22" s="12" t="n">
        <v>18</v>
      </c>
      <c r="B22" s="12" t="n">
        <v>8</v>
      </c>
      <c r="C22" s="12" t="inlineStr">
        <is>
          <t>黄子豪</t>
        </is>
      </c>
      <c r="D22" s="9" t="n">
        <v>55</v>
      </c>
      <c r="E22" s="8" t="n">
        <v>96</v>
      </c>
      <c r="F22" s="13" t="n">
        <v>60</v>
      </c>
      <c r="G22" s="8" t="n">
        <v>84</v>
      </c>
      <c r="H22" s="8" t="n">
        <v>69</v>
      </c>
      <c r="I22" s="8" t="n">
        <v>364</v>
      </c>
    </row>
    <row r="23">
      <c r="A23" s="12" t="n">
        <v>19</v>
      </c>
      <c r="B23" s="12" t="n">
        <v>38</v>
      </c>
      <c r="C23" s="12" t="inlineStr">
        <is>
          <t>叶文昊</t>
        </is>
      </c>
      <c r="D23" s="8" t="n">
        <v>87</v>
      </c>
      <c r="E23" s="8" t="n">
        <v>96</v>
      </c>
      <c r="F23" s="13" t="n">
        <v>61</v>
      </c>
      <c r="G23" s="8" t="n">
        <v>72</v>
      </c>
      <c r="H23" s="9" t="n">
        <v>48</v>
      </c>
      <c r="I23" s="8" t="n">
        <v>364</v>
      </c>
    </row>
    <row r="24">
      <c r="A24" s="12" t="n">
        <v>20</v>
      </c>
      <c r="B24" s="12" t="n">
        <v>29</v>
      </c>
      <c r="C24" s="12" t="inlineStr">
        <is>
          <t>曹雪莹</t>
        </is>
      </c>
      <c r="D24" s="8" t="n">
        <v>82</v>
      </c>
      <c r="E24" s="8" t="n">
        <v>85</v>
      </c>
      <c r="F24" s="8" t="n">
        <v>75</v>
      </c>
      <c r="G24" s="13" t="n">
        <v>63</v>
      </c>
      <c r="H24" s="9" t="n">
        <v>56</v>
      </c>
      <c r="I24" s="8" t="n">
        <v>361</v>
      </c>
    </row>
    <row r="25">
      <c r="A25" s="12" t="n">
        <v>21</v>
      </c>
      <c r="B25" s="12" t="n">
        <v>30</v>
      </c>
      <c r="C25" s="12" t="inlineStr">
        <is>
          <t>彭立轩</t>
        </is>
      </c>
      <c r="D25" s="13" t="n">
        <v>63</v>
      </c>
      <c r="E25" s="8" t="n">
        <v>80</v>
      </c>
      <c r="F25" s="8" t="n">
        <v>81</v>
      </c>
      <c r="G25" s="9" t="n">
        <v>45</v>
      </c>
      <c r="H25" s="8" t="n">
        <v>90</v>
      </c>
      <c r="I25" s="8" t="n">
        <v>359</v>
      </c>
    </row>
    <row r="26">
      <c r="A26" s="12" t="n">
        <v>22</v>
      </c>
      <c r="B26" s="12" t="n">
        <v>7</v>
      </c>
      <c r="C26" s="12" t="inlineStr">
        <is>
          <t>赵雨桐</t>
        </is>
      </c>
      <c r="D26" s="8" t="n">
        <v>81</v>
      </c>
      <c r="E26" s="13" t="n">
        <v>62</v>
      </c>
      <c r="F26" s="8" t="n">
        <v>78</v>
      </c>
      <c r="G26" s="8" t="n">
        <v>77</v>
      </c>
      <c r="H26" s="9" t="n">
        <v>59</v>
      </c>
      <c r="I26" s="8" t="n">
        <v>357</v>
      </c>
    </row>
    <row r="27">
      <c r="A27" s="12" t="n">
        <v>23</v>
      </c>
      <c r="B27" s="12" t="n">
        <v>13</v>
      </c>
      <c r="C27" s="12" t="inlineStr">
        <is>
          <t>马欣怡</t>
        </is>
      </c>
      <c r="D27" s="8" t="n">
        <v>79</v>
      </c>
      <c r="E27" s="9" t="n">
        <v>53</v>
      </c>
      <c r="F27" s="8" t="n">
        <v>85</v>
      </c>
      <c r="G27" s="9" t="n">
        <v>58</v>
      </c>
      <c r="H27" s="8" t="n">
        <v>82</v>
      </c>
      <c r="I27" s="8" t="n">
        <v>357</v>
      </c>
    </row>
    <row r="28">
      <c r="A28" s="12" t="n">
        <v>24</v>
      </c>
      <c r="B28" s="12" t="n">
        <v>5</v>
      </c>
      <c r="C28" s="12" t="inlineStr">
        <is>
          <t>刘一凡</t>
        </is>
      </c>
      <c r="D28" s="13" t="n">
        <v>69</v>
      </c>
      <c r="E28" s="8" t="n">
        <v>80</v>
      </c>
      <c r="F28" s="8" t="n">
        <v>88</v>
      </c>
      <c r="G28" s="9" t="n">
        <v>41</v>
      </c>
      <c r="H28" s="8" t="n">
        <v>77</v>
      </c>
      <c r="I28" s="8" t="n">
        <v>355</v>
      </c>
    </row>
    <row r="29">
      <c r="A29" s="12" t="n">
        <v>25</v>
      </c>
      <c r="B29" s="12" t="n">
        <v>12</v>
      </c>
      <c r="C29" s="12" t="inlineStr">
        <is>
          <t>孙博文</t>
        </is>
      </c>
      <c r="D29" s="9" t="n">
        <v>57</v>
      </c>
      <c r="E29" s="8" t="n">
        <v>94</v>
      </c>
      <c r="F29" s="8" t="n">
        <v>79</v>
      </c>
      <c r="G29" s="8" t="n">
        <v>74</v>
      </c>
      <c r="H29" s="9" t="n">
        <v>49</v>
      </c>
      <c r="I29" s="8" t="n">
        <v>353</v>
      </c>
    </row>
    <row r="30">
      <c r="A30" s="12" t="n">
        <v>26</v>
      </c>
      <c r="B30" s="12" t="n">
        <v>25</v>
      </c>
      <c r="C30" s="12" t="inlineStr">
        <is>
          <t>唐佳慧</t>
        </is>
      </c>
      <c r="D30" s="9" t="n">
        <v>59</v>
      </c>
      <c r="E30" s="13" t="n">
        <v>61</v>
      </c>
      <c r="F30" s="8" t="n">
        <v>86</v>
      </c>
      <c r="G30" s="8" t="n">
        <v>85</v>
      </c>
      <c r="H30" s="13" t="n">
        <v>62</v>
      </c>
      <c r="I30" s="8" t="n">
        <v>353</v>
      </c>
    </row>
    <row r="31">
      <c r="A31" s="12" t="n">
        <v>27</v>
      </c>
      <c r="B31" s="12" t="n">
        <v>24</v>
      </c>
      <c r="C31" s="12" t="inlineStr">
        <is>
          <t>宋宇航</t>
        </is>
      </c>
      <c r="D31" s="9" t="n">
        <v>57</v>
      </c>
      <c r="E31" s="8" t="n">
        <v>99</v>
      </c>
      <c r="F31" s="13" t="n">
        <v>70</v>
      </c>
      <c r="G31" s="13" t="n">
        <v>65</v>
      </c>
      <c r="H31" s="9" t="n">
        <v>59</v>
      </c>
      <c r="I31" s="8" t="n">
        <v>350</v>
      </c>
    </row>
    <row r="32">
      <c r="A32" s="12" t="n">
        <v>28</v>
      </c>
      <c r="B32" s="12" t="n">
        <v>1</v>
      </c>
      <c r="C32" s="12" t="inlineStr">
        <is>
          <t>陈小雅</t>
        </is>
      </c>
      <c r="D32" s="8" t="n">
        <v>95</v>
      </c>
      <c r="E32" s="9" t="n">
        <v>55</v>
      </c>
      <c r="F32" s="9" t="n">
        <v>51</v>
      </c>
      <c r="G32" s="8" t="n">
        <v>87</v>
      </c>
      <c r="H32" s="9" t="n">
        <v>59</v>
      </c>
      <c r="I32" s="8" t="n">
        <v>347</v>
      </c>
    </row>
    <row r="33">
      <c r="A33" s="12" t="n">
        <v>29</v>
      </c>
      <c r="B33" s="12" t="n">
        <v>15</v>
      </c>
      <c r="C33" s="12" t="inlineStr">
        <is>
          <t>胡诗涵</t>
        </is>
      </c>
      <c r="D33" s="9" t="n">
        <v>59</v>
      </c>
      <c r="E33" s="9" t="n">
        <v>50</v>
      </c>
      <c r="F33" s="8" t="n">
        <v>92</v>
      </c>
      <c r="G33" s="9" t="n">
        <v>54</v>
      </c>
      <c r="H33" s="8" t="n">
        <v>91</v>
      </c>
      <c r="I33" s="8" t="n">
        <v>346</v>
      </c>
    </row>
    <row r="34">
      <c r="A34" s="12" t="n">
        <v>30</v>
      </c>
      <c r="B34" s="12" t="n">
        <v>18</v>
      </c>
      <c r="C34" s="12" t="inlineStr">
        <is>
          <t>何明哲</t>
        </is>
      </c>
      <c r="D34" s="13" t="n">
        <v>65</v>
      </c>
      <c r="E34" s="13" t="n">
        <v>71</v>
      </c>
      <c r="F34" s="13" t="n">
        <v>72</v>
      </c>
      <c r="G34" s="9" t="n">
        <v>53</v>
      </c>
      <c r="H34" s="8" t="n">
        <v>84</v>
      </c>
      <c r="I34" s="8" t="n">
        <v>345</v>
      </c>
    </row>
    <row r="35">
      <c r="A35" s="12" t="n">
        <v>31</v>
      </c>
      <c r="B35" s="12" t="n">
        <v>9</v>
      </c>
      <c r="C35" s="12" t="inlineStr">
        <is>
          <t>周梦琪</t>
        </is>
      </c>
      <c r="D35" s="13" t="n">
        <v>76</v>
      </c>
      <c r="E35" s="13" t="n">
        <v>65</v>
      </c>
      <c r="F35" s="9" t="n">
        <v>59</v>
      </c>
      <c r="G35" s="9" t="n">
        <v>53</v>
      </c>
      <c r="H35" s="8" t="n">
        <v>90</v>
      </c>
      <c r="I35" s="8" t="n">
        <v>343</v>
      </c>
    </row>
    <row r="36">
      <c r="A36" s="12" t="n">
        <v>32</v>
      </c>
      <c r="B36" s="12" t="n">
        <v>40</v>
      </c>
      <c r="C36" s="12" t="inlineStr">
        <is>
          <t>熊家俊</t>
        </is>
      </c>
      <c r="D36" s="13" t="n">
        <v>67</v>
      </c>
      <c r="E36" s="9" t="n">
        <v>57</v>
      </c>
      <c r="F36" s="13" t="n">
        <v>73</v>
      </c>
      <c r="G36" s="8" t="n">
        <v>88</v>
      </c>
      <c r="H36" s="9" t="n">
        <v>52</v>
      </c>
      <c r="I36" s="8" t="n">
        <v>337</v>
      </c>
    </row>
    <row r="37">
      <c r="A37" s="12" t="n">
        <v>33</v>
      </c>
      <c r="B37" s="12" t="n">
        <v>16</v>
      </c>
      <c r="C37" s="12" t="inlineStr">
        <is>
          <t>郭子轩</t>
        </is>
      </c>
      <c r="D37" s="13" t="n">
        <v>73</v>
      </c>
      <c r="E37" s="9" t="n">
        <v>53</v>
      </c>
      <c r="F37" s="13" t="n">
        <v>64</v>
      </c>
      <c r="G37" s="8" t="n">
        <v>95</v>
      </c>
      <c r="H37" s="9" t="n">
        <v>48</v>
      </c>
      <c r="I37" s="8" t="n">
        <v>333</v>
      </c>
    </row>
    <row r="38">
      <c r="A38" s="12" t="n">
        <v>34</v>
      </c>
      <c r="B38" s="12" t="n">
        <v>21</v>
      </c>
      <c r="C38" s="12" t="inlineStr">
        <is>
          <t>郑晓彤</t>
        </is>
      </c>
      <c r="D38" s="13" t="n">
        <v>70</v>
      </c>
      <c r="E38" s="9" t="n">
        <v>58</v>
      </c>
      <c r="F38" s="8" t="n">
        <v>79</v>
      </c>
      <c r="G38" s="13" t="n">
        <v>64</v>
      </c>
      <c r="H38" s="9" t="n">
        <v>59</v>
      </c>
      <c r="I38" s="8" t="n">
        <v>330</v>
      </c>
    </row>
    <row r="39">
      <c r="A39" s="12" t="n">
        <v>35</v>
      </c>
      <c r="B39" s="12" t="n">
        <v>2</v>
      </c>
      <c r="C39" s="12" t="inlineStr">
        <is>
          <t>李思远</t>
        </is>
      </c>
      <c r="D39" s="13" t="n">
        <v>70</v>
      </c>
      <c r="E39" s="13" t="n">
        <v>62</v>
      </c>
      <c r="F39" s="9" t="n">
        <v>58</v>
      </c>
      <c r="G39" s="8" t="n">
        <v>87</v>
      </c>
      <c r="H39" s="9" t="n">
        <v>48</v>
      </c>
      <c r="I39" s="8" t="n">
        <v>325</v>
      </c>
    </row>
    <row r="40">
      <c r="A40" s="12" t="n">
        <v>36</v>
      </c>
      <c r="B40" s="12" t="n">
        <v>36</v>
      </c>
      <c r="C40" s="12" t="inlineStr">
        <is>
          <t>余志远</t>
        </is>
      </c>
      <c r="D40" s="13" t="n">
        <v>76</v>
      </c>
      <c r="E40" s="9" t="n">
        <v>55</v>
      </c>
      <c r="F40" s="13" t="n">
        <v>68</v>
      </c>
      <c r="G40" s="13" t="n">
        <v>67</v>
      </c>
      <c r="H40" s="9" t="n">
        <v>52</v>
      </c>
      <c r="I40" s="8" t="n">
        <v>318</v>
      </c>
    </row>
    <row r="41">
      <c r="A41" s="12" t="n">
        <v>37</v>
      </c>
      <c r="B41" s="12" t="n">
        <v>27</v>
      </c>
      <c r="C41" s="12" t="inlineStr">
        <is>
          <t>邓欣妍</t>
        </is>
      </c>
      <c r="D41" s="8" t="n">
        <v>84</v>
      </c>
      <c r="E41" s="9" t="n">
        <v>57</v>
      </c>
      <c r="F41" s="13" t="n">
        <v>66</v>
      </c>
      <c r="G41" s="9" t="n">
        <v>48</v>
      </c>
      <c r="H41" s="9" t="n">
        <v>57</v>
      </c>
      <c r="I41" s="8" t="n">
        <v>312</v>
      </c>
    </row>
    <row r="42">
      <c r="A42" s="12" t="n">
        <v>38</v>
      </c>
      <c r="B42" s="12" t="n">
        <v>31</v>
      </c>
      <c r="C42" s="12" t="inlineStr">
        <is>
          <t>董思雨</t>
        </is>
      </c>
      <c r="D42" s="9" t="n">
        <v>58</v>
      </c>
      <c r="E42" s="9" t="n">
        <v>55</v>
      </c>
      <c r="F42" s="9" t="n">
        <v>59</v>
      </c>
      <c r="G42" s="8" t="n">
        <v>80</v>
      </c>
      <c r="H42" s="9" t="n">
        <v>52</v>
      </c>
      <c r="I42" s="8" t="n">
        <v>304</v>
      </c>
    </row>
    <row r="43">
      <c r="A43" s="12" t="n">
        <v>39</v>
      </c>
      <c r="B43" s="12" t="n">
        <v>10</v>
      </c>
      <c r="C43" s="12" t="inlineStr">
        <is>
          <t>吴俊杰</t>
        </is>
      </c>
      <c r="D43" s="13" t="n">
        <v>76</v>
      </c>
      <c r="E43" s="9" t="n">
        <v>54</v>
      </c>
      <c r="F43" s="9" t="n">
        <v>55</v>
      </c>
      <c r="G43" s="13" t="n">
        <v>64</v>
      </c>
      <c r="H43" s="9" t="n">
        <v>48</v>
      </c>
      <c r="I43" s="8" t="n">
        <v>297</v>
      </c>
    </row>
    <row r="44">
      <c r="A44" s="12" t="n">
        <v>40</v>
      </c>
      <c r="B44" s="12" t="n">
        <v>4</v>
      </c>
      <c r="C44" s="12" t="inlineStr">
        <is>
          <t>陈嘉怡</t>
        </is>
      </c>
      <c r="D44" s="8" t="n">
        <v>82</v>
      </c>
      <c r="E44" s="9" t="n">
        <v>50</v>
      </c>
      <c r="F44" s="9" t="n">
        <v>51</v>
      </c>
      <c r="G44" s="9" t="n">
        <v>45</v>
      </c>
      <c r="H44" s="9" t="n">
        <v>55</v>
      </c>
      <c r="I44" s="8" t="n">
        <v>283</v>
      </c>
    </row>
    <row r="46">
      <c r="A46" s="6" t="inlineStr">
        <is>
          <t>图例：浅黄底=低于平均分；红底红字=不及格(&lt;60)，同时低于平均分时以红底优先。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每科低于平均分的人数</t>
        </is>
      </c>
    </row>
    <row r="2">
      <c r="A2" s="6" t="inlineStr">
        <is>
          <t>对应进阶指令④"每科下方标出低于平均分的人数"。</t>
        </is>
      </c>
    </row>
    <row r="4">
      <c r="A4" s="5" t="inlineStr">
        <is>
          <t>科目</t>
        </is>
      </c>
      <c r="B4" s="5" t="inlineStr">
        <is>
          <t>平均分(1位小数)</t>
        </is>
      </c>
      <c r="C4" s="5" t="inlineStr">
        <is>
          <t>低于平均分人数</t>
        </is>
      </c>
      <c r="D4" s="5" t="inlineStr">
        <is>
          <t>占比</t>
        </is>
      </c>
    </row>
    <row r="5">
      <c r="A5" s="8" t="inlineStr">
        <is>
          <t>语文</t>
        </is>
      </c>
      <c r="B5" s="8" t="n">
        <v>77.3</v>
      </c>
      <c r="C5" s="8" t="n">
        <v>21</v>
      </c>
      <c r="D5" s="14" t="n">
        <v>0.525</v>
      </c>
    </row>
    <row r="6">
      <c r="A6" s="8" t="inlineStr">
        <is>
          <t>数学</t>
        </is>
      </c>
      <c r="B6" s="8" t="n">
        <v>72.2</v>
      </c>
      <c r="C6" s="8" t="n">
        <v>22</v>
      </c>
      <c r="D6" s="14" t="n">
        <v>0.55</v>
      </c>
    </row>
    <row r="7">
      <c r="A7" s="8" t="inlineStr">
        <is>
          <t>英语</t>
        </is>
      </c>
      <c r="B7" s="8" t="n">
        <v>74.7</v>
      </c>
      <c r="C7" s="8" t="n">
        <v>18</v>
      </c>
      <c r="D7" s="14" t="n">
        <v>0.45</v>
      </c>
    </row>
    <row r="8">
      <c r="A8" s="8" t="inlineStr">
        <is>
          <t>物理</t>
        </is>
      </c>
      <c r="B8" s="8" t="n">
        <v>68.3</v>
      </c>
      <c r="C8" s="8" t="n">
        <v>20</v>
      </c>
      <c r="D8" s="14" t="n">
        <v>0.5</v>
      </c>
    </row>
    <row r="9">
      <c r="A9" s="8" t="inlineStr">
        <is>
          <t>化学</t>
        </is>
      </c>
      <c r="B9" s="8" t="n">
        <v>67.90000000000001</v>
      </c>
      <c r="C9" s="8" t="n">
        <v>22</v>
      </c>
      <c r="D9" s="14" t="n">
        <v>0.55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关键数字核对（落实手册"上报前先自己过一遍"）</t>
        </is>
      </c>
    </row>
    <row r="2">
      <c r="A2" s="6" t="inlineStr">
        <is>
          <t>本页数字由脚本从源表独立复算后写成静态值，任何阅读器打开都能看到；与图表所用数据一一对应。</t>
        </is>
      </c>
    </row>
    <row r="4">
      <c r="A4" s="4" t="inlineStr">
        <is>
          <t>【口径与单位核对】</t>
        </is>
      </c>
    </row>
    <row r="5">
      <c r="A5" s="3" t="inlineStr">
        <is>
          <t>科目</t>
        </is>
      </c>
      <c r="B5" s="2" t="inlineStr">
        <is>
          <t>语文、数学、英语、物理、化学</t>
        </is>
      </c>
    </row>
    <row r="6">
      <c r="A6" s="3" t="inlineStr">
        <is>
          <t>人数</t>
        </is>
      </c>
      <c r="B6" s="2" t="inlineStr">
        <is>
          <t>40 人</t>
        </is>
      </c>
    </row>
    <row r="7">
      <c r="A7" s="3" t="inlineStr">
        <is>
          <t>各科满分</t>
        </is>
      </c>
      <c r="B7" s="2" t="inlineStr">
        <is>
          <t>100 分/科</t>
        </is>
      </c>
    </row>
    <row r="8">
      <c r="A8" s="3" t="inlineStr">
        <is>
          <t>总分满分</t>
        </is>
      </c>
      <c r="B8" s="2" t="inlineStr">
        <is>
          <t>500 分</t>
        </is>
      </c>
    </row>
    <row r="9">
      <c r="A9" s="3" t="inlineStr">
        <is>
          <t>各科最高分是否 ≤100</t>
        </is>
      </c>
      <c r="B9" s="2" t="inlineStr">
        <is>
          <t>是（语文98、数学99、英语96、物理95、化学94）</t>
        </is>
      </c>
    </row>
    <row r="10">
      <c r="A10" s="3" t="inlineStr">
        <is>
          <t>总分最高分是否 ≤500</t>
        </is>
      </c>
      <c r="B10" s="2" t="inlineStr">
        <is>
          <t>是（419，蔡梦洁）</t>
        </is>
      </c>
    </row>
    <row r="11">
      <c r="A11" s="3" t="inlineStr">
        <is>
          <t>单位一致性结论</t>
        </is>
      </c>
      <c r="B11" s="2" t="inlineStr">
        <is>
          <t>✅ 各科为 100 分制、总分为 500 分制，全表单位统一，未出现"把单位搞错"的情况</t>
        </is>
      </c>
    </row>
    <row r="13">
      <c r="A13" s="4" t="inlineStr">
        <is>
          <t>【各科指标】</t>
        </is>
      </c>
    </row>
    <row r="14">
      <c r="A14" s="5" t="inlineStr">
        <is>
          <t>科目</t>
        </is>
      </c>
      <c r="B14" s="5" t="inlineStr">
        <is>
          <t>平均分</t>
        </is>
      </c>
      <c r="C14" s="5" t="inlineStr">
        <is>
          <t>最高</t>
        </is>
      </c>
      <c r="D14" s="5" t="inlineStr">
        <is>
          <t>最低</t>
        </is>
      </c>
      <c r="E14" s="5" t="inlineStr">
        <is>
          <t>及格率(≥60)</t>
        </is>
      </c>
      <c r="F14" s="5" t="inlineStr">
        <is>
          <t>优秀率(≥85)</t>
        </is>
      </c>
      <c r="G14" s="5" t="inlineStr">
        <is>
          <t>不及格人数</t>
        </is>
      </c>
      <c r="H14" s="5" t="inlineStr">
        <is>
          <t>低于平均分人数</t>
        </is>
      </c>
    </row>
    <row r="15">
      <c r="A15" s="8" t="inlineStr">
        <is>
          <t>语文</t>
        </is>
      </c>
      <c r="B15" s="8" t="n">
        <v>77.3</v>
      </c>
      <c r="C15" s="8" t="n">
        <v>98</v>
      </c>
      <c r="D15" s="8" t="n">
        <v>55</v>
      </c>
      <c r="E15" s="14" t="n">
        <v>0.85</v>
      </c>
      <c r="F15" s="14" t="n">
        <v>0.275</v>
      </c>
      <c r="G15" s="8" t="n">
        <v>6</v>
      </c>
      <c r="H15" s="8" t="n">
        <v>21</v>
      </c>
    </row>
    <row r="16">
      <c r="A16" s="8" t="inlineStr">
        <is>
          <t>数学</t>
        </is>
      </c>
      <c r="B16" s="8" t="n">
        <v>72.2</v>
      </c>
      <c r="C16" s="8" t="n">
        <v>99</v>
      </c>
      <c r="D16" s="8" t="n">
        <v>48</v>
      </c>
      <c r="E16" s="14" t="n">
        <v>0.675</v>
      </c>
      <c r="F16" s="14" t="n">
        <v>0.325</v>
      </c>
      <c r="G16" s="8" t="n">
        <v>13</v>
      </c>
      <c r="H16" s="8" t="n">
        <v>22</v>
      </c>
    </row>
    <row r="17">
      <c r="A17" s="8" t="inlineStr">
        <is>
          <t>英语</t>
        </is>
      </c>
      <c r="B17" s="8" t="n">
        <v>74.7</v>
      </c>
      <c r="C17" s="8" t="n">
        <v>96</v>
      </c>
      <c r="D17" s="8" t="n">
        <v>51</v>
      </c>
      <c r="E17" s="14" t="n">
        <v>0.825</v>
      </c>
      <c r="F17" s="14" t="n">
        <v>0.325</v>
      </c>
      <c r="G17" s="8" t="n">
        <v>7</v>
      </c>
      <c r="H17" s="8" t="n">
        <v>18</v>
      </c>
    </row>
    <row r="18">
      <c r="A18" s="8" t="inlineStr">
        <is>
          <t>物理</t>
        </is>
      </c>
      <c r="B18" s="8" t="n">
        <v>68.3</v>
      </c>
      <c r="C18" s="8" t="n">
        <v>95</v>
      </c>
      <c r="D18" s="8" t="n">
        <v>41</v>
      </c>
      <c r="E18" s="14" t="n">
        <v>0.65</v>
      </c>
      <c r="F18" s="14" t="n">
        <v>0.225</v>
      </c>
      <c r="G18" s="8" t="n">
        <v>14</v>
      </c>
      <c r="H18" s="8" t="n">
        <v>20</v>
      </c>
    </row>
    <row r="19">
      <c r="A19" s="8" t="inlineStr">
        <is>
          <t>化学</t>
        </is>
      </c>
      <c r="B19" s="8" t="n">
        <v>67.90000000000001</v>
      </c>
      <c r="C19" s="8" t="n">
        <v>94</v>
      </c>
      <c r="D19" s="8" t="n">
        <v>46</v>
      </c>
      <c r="E19" s="14" t="n">
        <v>0.525</v>
      </c>
      <c r="F19" s="14" t="n">
        <v>0.2</v>
      </c>
      <c r="G19" s="8" t="n">
        <v>19</v>
      </c>
      <c r="H19" s="8" t="n">
        <v>22</v>
      </c>
    </row>
    <row r="21">
      <c r="A21" s="4" t="inlineStr">
        <is>
          <t>【总分】</t>
        </is>
      </c>
    </row>
    <row r="22">
      <c r="A22" s="3" t="inlineStr">
        <is>
          <t>总分平均分</t>
        </is>
      </c>
      <c r="B22" s="15" t="inlineStr">
        <is>
          <t>360.4</t>
        </is>
      </c>
    </row>
    <row r="23">
      <c r="A23" s="3" t="inlineStr">
        <is>
          <t>总分最高</t>
        </is>
      </c>
      <c r="B23" s="15" t="inlineStr">
        <is>
          <t>419（蔡梦洁）</t>
        </is>
      </c>
    </row>
    <row r="24">
      <c r="A24" s="3" t="inlineStr">
        <is>
          <t>总分最低</t>
        </is>
      </c>
      <c r="B24" s="15" t="inlineStr">
        <is>
          <t>283（陈嘉怡）</t>
        </is>
      </c>
    </row>
    <row r="25">
      <c r="A25" s="3" t="inlineStr">
        <is>
          <t>400 分以上</t>
        </is>
      </c>
      <c r="B25" s="15" t="inlineStr">
        <is>
          <t>7 人</t>
        </is>
      </c>
    </row>
    <row r="26">
      <c r="A26" s="3" t="inlineStr">
        <is>
          <t>360 分以上</t>
        </is>
      </c>
      <c r="B26" s="15" t="inlineStr">
        <is>
          <t>20 人</t>
        </is>
      </c>
    </row>
    <row r="27">
      <c r="A27" s="3" t="inlineStr">
        <is>
          <t>300 分以下</t>
        </is>
      </c>
      <c r="B27" s="15" t="inlineStr">
        <is>
          <t>2 人</t>
        </is>
      </c>
    </row>
    <row r="28">
      <c r="A28" s="3" t="inlineStr">
        <is>
          <t>原表总分与五科之和不一致</t>
        </is>
      </c>
      <c r="B28" s="15" t="inlineStr">
        <is>
          <t>0 条（等于用原表 40 个总分反向验证了读数）</t>
        </is>
      </c>
    </row>
    <row r="30">
      <c r="A30" s="4" t="inlineStr">
        <is>
          <t>【不及格（标红）】</t>
        </is>
      </c>
    </row>
    <row r="31">
      <c r="A31" s="3" t="inlineStr">
        <is>
          <t>语文 不及格(&lt;60)</t>
        </is>
      </c>
      <c r="B31" s="15" t="inlineStr">
        <is>
          <t>6 人</t>
        </is>
      </c>
    </row>
    <row r="32">
      <c r="A32" s="3" t="inlineStr">
        <is>
          <t>数学 不及格(&lt;60)</t>
        </is>
      </c>
      <c r="B32" s="15" t="inlineStr">
        <is>
          <t>13 人</t>
        </is>
      </c>
    </row>
    <row r="33">
      <c r="A33" s="3" t="inlineStr">
        <is>
          <t>英语 不及格(&lt;60)</t>
        </is>
      </c>
      <c r="B33" s="15" t="inlineStr">
        <is>
          <t>7 人</t>
        </is>
      </c>
    </row>
    <row r="34">
      <c r="A34" s="3" t="inlineStr">
        <is>
          <t>物理 不及格(&lt;60)</t>
        </is>
      </c>
      <c r="B34" s="15" t="inlineStr">
        <is>
          <t>14 人</t>
        </is>
      </c>
    </row>
    <row r="35">
      <c r="A35" s="3" t="inlineStr">
        <is>
          <t>化学 不及格(&lt;60)</t>
        </is>
      </c>
      <c r="B35" s="15" t="inlineStr">
        <is>
          <t>19 人</t>
        </is>
      </c>
    </row>
    <row r="36">
      <c r="A36" s="3" t="inlineStr">
        <is>
          <t>不及格单元格合计</t>
        </is>
      </c>
      <c r="B36" s="15" t="inlineStr">
        <is>
          <t>59 个（涉及 33 名学生）</t>
        </is>
      </c>
    </row>
    <row r="38">
      <c r="A38" s="4" t="inlineStr">
        <is>
          <t>【与第05章同源数据的对照】</t>
        </is>
      </c>
    </row>
    <row r="39">
      <c r="A39" s="3" t="inlineStr">
        <is>
          <t>各科平均分</t>
        </is>
      </c>
      <c r="B39" s="2" t="inlineStr">
        <is>
          <t>第05章复刻结果同值（语文77.3/数学72.2/英语74.7/物理68.3/化学67.9）</t>
        </is>
      </c>
    </row>
    <row r="40">
      <c r="A40" s="3" t="inlineStr">
        <is>
          <t>总分平均/最高/最低</t>
        </is>
      </c>
      <c r="B40" s="2" t="inlineStr">
        <is>
          <t>第05章复刻结果同值（360.4 / 419 / 283）</t>
        </is>
      </c>
    </row>
    <row r="41">
      <c r="A41" s="3" t="inlineStr">
        <is>
          <t>400分以上人数</t>
        </is>
      </c>
      <c r="B41" s="2" t="inlineStr">
        <is>
          <t>第05章复刻发现手册写"6人"、实为 7 人 → 本案例按实算 7 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2026-10-12T18:23:53Z</dcterms:created>
  <dcterms:modified xmlns:dcterms="http://purl.org/dc/terms/" xmlns:xsi="http://www.w3.org/2001/XMLSchema-instance" xsi:type="dcterms:W3CDTF">2026-10-12T18:23:54Z</dcterms:modified>
</cp:coreProperties>
</file>